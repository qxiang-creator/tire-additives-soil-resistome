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BaiduSyncdisk\全国高速服务区数据\response0812\"/>
    </mc:Choice>
  </mc:AlternateContent>
  <xr:revisionPtr revIDLastSave="0" documentId="13_ncr:1_{57227DEF-31A6-4380-BA68-46ADD767475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ll detected genes" sheetId="3" r:id="rId1"/>
    <sheet name="detected number_Resistance Mech" sheetId="30" r:id="rId2"/>
    <sheet name="Resistance Mechanism" sheetId="13" r:id="rId3"/>
    <sheet name="relative abundance_drug class" sheetId="22" r:id="rId4"/>
    <sheet name="detected ARG number_drug class" sheetId="29" r:id="rId5"/>
    <sheet name="risk class" sheetId="17" r:id="rId6"/>
    <sheet name="pie_risk_abundance" sheetId="2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J3" i="3" l="1"/>
  <c r="CJ4" i="3"/>
  <c r="CJ5" i="3"/>
  <c r="CJ6" i="3"/>
  <c r="CJ7" i="3"/>
  <c r="CJ8" i="3"/>
  <c r="CJ9" i="3"/>
  <c r="CJ10" i="3"/>
  <c r="CJ11" i="3"/>
  <c r="CJ12" i="3"/>
  <c r="CJ13" i="3"/>
  <c r="CJ14" i="3"/>
  <c r="CJ15" i="3"/>
  <c r="CJ16" i="3"/>
  <c r="CJ17" i="3"/>
  <c r="CJ18" i="3"/>
  <c r="CJ19" i="3"/>
  <c r="CJ20" i="3"/>
  <c r="CJ21" i="3"/>
  <c r="CJ22" i="3"/>
  <c r="CJ23" i="3"/>
  <c r="CJ24" i="3"/>
  <c r="CJ25" i="3"/>
  <c r="CJ26" i="3"/>
  <c r="CJ27" i="3"/>
  <c r="CJ28" i="3"/>
  <c r="CJ29" i="3"/>
  <c r="CJ30" i="3"/>
  <c r="CJ31" i="3"/>
  <c r="CJ32" i="3"/>
  <c r="CJ33" i="3"/>
  <c r="CJ34" i="3"/>
  <c r="CJ35" i="3"/>
  <c r="CJ36" i="3"/>
  <c r="CJ37" i="3"/>
  <c r="CJ38" i="3"/>
  <c r="CJ39" i="3"/>
  <c r="CJ40" i="3"/>
  <c r="CJ41" i="3"/>
  <c r="CJ42" i="3"/>
  <c r="CJ43" i="3"/>
  <c r="CJ44" i="3"/>
  <c r="CJ45" i="3"/>
  <c r="CJ46" i="3"/>
  <c r="CJ47" i="3"/>
  <c r="CJ48" i="3"/>
  <c r="CJ49" i="3"/>
  <c r="CJ50" i="3"/>
  <c r="CJ51" i="3"/>
  <c r="CJ52" i="3"/>
  <c r="CJ53" i="3"/>
  <c r="CJ54" i="3"/>
  <c r="CJ55" i="3"/>
  <c r="CJ56" i="3"/>
  <c r="CJ57" i="3"/>
  <c r="CJ58" i="3"/>
  <c r="CJ59" i="3"/>
  <c r="CJ60" i="3"/>
  <c r="CJ61" i="3"/>
  <c r="CJ62" i="3"/>
  <c r="CJ63" i="3"/>
  <c r="CJ64" i="3"/>
  <c r="CJ65" i="3"/>
  <c r="CJ66" i="3"/>
  <c r="CJ67" i="3"/>
  <c r="CJ68" i="3"/>
  <c r="CJ69" i="3"/>
  <c r="CJ70" i="3"/>
  <c r="CJ71" i="3"/>
  <c r="CJ72" i="3"/>
  <c r="CJ73" i="3"/>
  <c r="CJ74" i="3"/>
  <c r="CJ75" i="3"/>
  <c r="CJ76" i="3"/>
  <c r="CJ77" i="3"/>
  <c r="CJ78" i="3"/>
  <c r="CJ79" i="3"/>
  <c r="CJ80" i="3"/>
  <c r="CJ81" i="3"/>
  <c r="CJ82" i="3"/>
  <c r="CJ83" i="3"/>
  <c r="CJ84" i="3"/>
  <c r="CJ85" i="3"/>
  <c r="CJ86" i="3"/>
  <c r="CJ87" i="3"/>
  <c r="CJ88" i="3"/>
  <c r="CJ89" i="3"/>
  <c r="CJ90" i="3"/>
  <c r="CJ91" i="3"/>
  <c r="CJ92" i="3"/>
  <c r="CJ93" i="3"/>
  <c r="CJ94" i="3"/>
  <c r="CJ95" i="3"/>
  <c r="CJ96" i="3"/>
  <c r="CJ97" i="3"/>
  <c r="CJ98" i="3"/>
  <c r="CJ99" i="3"/>
  <c r="CJ100" i="3"/>
  <c r="CJ101" i="3"/>
  <c r="CJ102" i="3"/>
  <c r="CJ103" i="3"/>
  <c r="CJ104" i="3"/>
  <c r="CJ105" i="3"/>
  <c r="CJ106" i="3"/>
  <c r="CJ107" i="3"/>
  <c r="CJ108" i="3"/>
  <c r="CJ109" i="3"/>
  <c r="CJ110" i="3"/>
  <c r="CJ111" i="3"/>
  <c r="CJ112" i="3"/>
  <c r="CJ113" i="3"/>
  <c r="CJ114" i="3"/>
  <c r="CJ115" i="3"/>
  <c r="CJ116" i="3"/>
  <c r="CJ117" i="3"/>
  <c r="CJ118" i="3"/>
  <c r="CJ119" i="3"/>
  <c r="CJ120" i="3"/>
  <c r="CJ121" i="3"/>
  <c r="CJ122" i="3"/>
  <c r="CJ123" i="3"/>
  <c r="CJ124" i="3"/>
  <c r="CJ125" i="3"/>
  <c r="CJ126" i="3"/>
  <c r="CJ127" i="3"/>
  <c r="CJ128" i="3"/>
  <c r="CJ129" i="3"/>
  <c r="CJ130" i="3"/>
  <c r="CJ131" i="3"/>
  <c r="CJ132" i="3"/>
  <c r="CJ133" i="3"/>
  <c r="CJ134" i="3"/>
  <c r="CJ135" i="3"/>
  <c r="CJ136" i="3"/>
  <c r="CJ137" i="3"/>
  <c r="CJ138" i="3"/>
  <c r="CJ139" i="3"/>
  <c r="CJ140" i="3"/>
  <c r="CJ141" i="3"/>
  <c r="CJ142" i="3"/>
  <c r="CJ143" i="3"/>
  <c r="CJ144" i="3"/>
  <c r="CJ145" i="3"/>
  <c r="CJ146" i="3"/>
  <c r="CJ147" i="3"/>
  <c r="CJ148" i="3"/>
  <c r="CJ149" i="3"/>
  <c r="CJ150" i="3"/>
  <c r="CJ151" i="3"/>
  <c r="CJ152" i="3"/>
  <c r="CJ153" i="3"/>
  <c r="CJ154" i="3"/>
  <c r="CJ155" i="3"/>
  <c r="CJ156" i="3"/>
  <c r="CJ157" i="3"/>
  <c r="CJ158" i="3"/>
  <c r="CJ159" i="3"/>
  <c r="CJ160" i="3"/>
  <c r="CJ161" i="3"/>
  <c r="CJ162" i="3"/>
  <c r="CJ163" i="3"/>
  <c r="CJ164" i="3"/>
  <c r="CJ165" i="3"/>
  <c r="CJ166" i="3"/>
  <c r="CJ167" i="3"/>
  <c r="CJ168" i="3"/>
  <c r="CJ169" i="3"/>
  <c r="CJ170" i="3"/>
  <c r="CJ171" i="3"/>
  <c r="CJ172" i="3"/>
  <c r="CJ173" i="3"/>
  <c r="CJ174" i="3"/>
  <c r="CJ175" i="3"/>
  <c r="CJ176" i="3"/>
  <c r="CJ177" i="3"/>
  <c r="CJ178" i="3"/>
  <c r="CJ179" i="3"/>
  <c r="CJ180" i="3"/>
  <c r="CJ181" i="3"/>
  <c r="CJ182" i="3"/>
  <c r="CJ183" i="3"/>
  <c r="CJ184" i="3"/>
  <c r="CJ185" i="3"/>
  <c r="CJ186" i="3"/>
  <c r="CJ187" i="3"/>
  <c r="CJ188" i="3"/>
  <c r="CJ189" i="3"/>
  <c r="CJ190" i="3"/>
  <c r="CJ191" i="3"/>
  <c r="CJ192" i="3"/>
  <c r="CJ193" i="3"/>
  <c r="CJ194" i="3"/>
  <c r="CJ195" i="3"/>
  <c r="CJ196" i="3"/>
  <c r="CJ197" i="3"/>
  <c r="CJ198" i="3"/>
  <c r="CJ199" i="3"/>
  <c r="CJ200" i="3"/>
  <c r="CJ201" i="3"/>
  <c r="CJ202" i="3"/>
  <c r="CJ203" i="3"/>
  <c r="CJ204" i="3"/>
  <c r="CJ205" i="3"/>
  <c r="CJ206" i="3"/>
  <c r="CJ207" i="3"/>
  <c r="CJ208" i="3"/>
  <c r="CJ2" i="3"/>
  <c r="K95" i="17"/>
  <c r="L95" i="17"/>
  <c r="M95" i="17"/>
  <c r="N95" i="17"/>
  <c r="O95" i="17"/>
  <c r="P95" i="17"/>
  <c r="Q95" i="17"/>
  <c r="R95" i="17"/>
  <c r="S95" i="17"/>
  <c r="T95" i="17"/>
  <c r="U95" i="17"/>
  <c r="V95" i="17"/>
  <c r="W95" i="17"/>
  <c r="X95" i="17"/>
  <c r="Y95" i="17"/>
  <c r="Z95" i="17"/>
  <c r="AA95" i="17"/>
  <c r="AB95" i="17"/>
  <c r="AC95" i="17"/>
  <c r="AD95" i="17"/>
  <c r="AE95" i="17"/>
  <c r="AF95" i="17"/>
  <c r="AG95" i="17"/>
  <c r="AH95" i="17"/>
  <c r="AI95" i="17"/>
  <c r="AJ95" i="17"/>
  <c r="AK95" i="17"/>
  <c r="AL95" i="17"/>
  <c r="AM95" i="17"/>
  <c r="AN95" i="17"/>
  <c r="AO95" i="17"/>
  <c r="AP95" i="17"/>
  <c r="AQ95" i="17"/>
  <c r="AR95" i="17"/>
  <c r="AS95" i="17"/>
  <c r="AT95" i="17"/>
  <c r="AU95" i="17"/>
  <c r="AV95" i="17"/>
  <c r="AW95" i="17"/>
  <c r="AX95" i="17"/>
  <c r="AY95" i="17"/>
  <c r="AZ95" i="17"/>
  <c r="BA95" i="17"/>
  <c r="BB95" i="17"/>
  <c r="BC95" i="17"/>
  <c r="BD95" i="17"/>
  <c r="BE95" i="17"/>
  <c r="BF95" i="17"/>
  <c r="BG95" i="17"/>
  <c r="BH95" i="17"/>
  <c r="BI95" i="17"/>
  <c r="BJ95" i="17"/>
  <c r="BK95" i="17"/>
  <c r="BL95" i="17"/>
  <c r="BM95" i="17"/>
  <c r="BN95" i="17"/>
  <c r="BO95" i="17"/>
  <c r="BP95" i="17"/>
  <c r="BQ95" i="17"/>
  <c r="BR95" i="17"/>
  <c r="BS95" i="17"/>
  <c r="BT95" i="17"/>
  <c r="BU95" i="17"/>
  <c r="BV95" i="17"/>
  <c r="BW95" i="17"/>
  <c r="BX95" i="17"/>
  <c r="BY95" i="17"/>
  <c r="BZ95" i="17"/>
  <c r="CA95" i="17"/>
  <c r="CB95" i="17"/>
  <c r="CC95" i="17"/>
  <c r="CD95" i="17"/>
  <c r="CE95" i="17"/>
  <c r="CF95" i="17"/>
  <c r="CG95" i="17"/>
  <c r="CH95" i="17"/>
  <c r="CI95" i="17"/>
  <c r="CJ95" i="17"/>
  <c r="CK95" i="17"/>
  <c r="CL95" i="17"/>
  <c r="CM95" i="17"/>
  <c r="CN95" i="17"/>
  <c r="J95" i="17"/>
  <c r="CO95" i="17" s="1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Y80" i="17"/>
  <c r="Z80" i="17"/>
  <c r="AA80" i="17"/>
  <c r="AB80" i="17"/>
  <c r="AC80" i="17"/>
  <c r="AD80" i="17"/>
  <c r="AE80" i="17"/>
  <c r="AF80" i="17"/>
  <c r="AG80" i="17"/>
  <c r="AH80" i="17"/>
  <c r="AI80" i="17"/>
  <c r="AJ80" i="17"/>
  <c r="AK80" i="17"/>
  <c r="AL80" i="17"/>
  <c r="AM80" i="17"/>
  <c r="AN80" i="17"/>
  <c r="AO80" i="17"/>
  <c r="AP80" i="17"/>
  <c r="AQ80" i="17"/>
  <c r="AR80" i="17"/>
  <c r="AS80" i="17"/>
  <c r="AT80" i="17"/>
  <c r="AU80" i="17"/>
  <c r="AV80" i="17"/>
  <c r="AW80" i="17"/>
  <c r="AX80" i="17"/>
  <c r="AY80" i="17"/>
  <c r="AZ80" i="17"/>
  <c r="BA80" i="17"/>
  <c r="BB80" i="17"/>
  <c r="BC80" i="17"/>
  <c r="BD80" i="17"/>
  <c r="BE80" i="17"/>
  <c r="BF80" i="17"/>
  <c r="BG80" i="17"/>
  <c r="BH80" i="17"/>
  <c r="BI80" i="17"/>
  <c r="BJ80" i="17"/>
  <c r="BK80" i="17"/>
  <c r="BL80" i="17"/>
  <c r="BM80" i="17"/>
  <c r="BN80" i="17"/>
  <c r="BO80" i="17"/>
  <c r="BP80" i="17"/>
  <c r="BQ80" i="17"/>
  <c r="BR80" i="17"/>
  <c r="BS80" i="17"/>
  <c r="BT80" i="17"/>
  <c r="BU80" i="17"/>
  <c r="BV80" i="17"/>
  <c r="BW80" i="17"/>
  <c r="BX80" i="17"/>
  <c r="BY80" i="17"/>
  <c r="BZ80" i="17"/>
  <c r="CA80" i="17"/>
  <c r="CB80" i="17"/>
  <c r="CC80" i="17"/>
  <c r="CD80" i="17"/>
  <c r="CE80" i="17"/>
  <c r="CF80" i="17"/>
  <c r="CG80" i="17"/>
  <c r="CH80" i="17"/>
  <c r="CI80" i="17"/>
  <c r="CJ80" i="17"/>
  <c r="CK80" i="17"/>
  <c r="CL80" i="17"/>
  <c r="CM80" i="17"/>
  <c r="CN80" i="17"/>
  <c r="J80" i="17"/>
  <c r="CO80" i="17" s="1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Y57" i="17"/>
  <c r="Z57" i="17"/>
  <c r="AA57" i="17"/>
  <c r="AB57" i="17"/>
  <c r="AC57" i="17"/>
  <c r="AD57" i="17"/>
  <c r="AE57" i="17"/>
  <c r="AF57" i="17"/>
  <c r="AG57" i="17"/>
  <c r="AH57" i="17"/>
  <c r="AI57" i="17"/>
  <c r="AJ57" i="17"/>
  <c r="AK57" i="17"/>
  <c r="AL57" i="17"/>
  <c r="AM57" i="17"/>
  <c r="AN57" i="17"/>
  <c r="AO57" i="17"/>
  <c r="AP57" i="17"/>
  <c r="AQ57" i="17"/>
  <c r="AR57" i="17"/>
  <c r="AS57" i="17"/>
  <c r="AT57" i="17"/>
  <c r="AU57" i="17"/>
  <c r="AV57" i="17"/>
  <c r="AW57" i="17"/>
  <c r="AX57" i="17"/>
  <c r="AY57" i="17"/>
  <c r="AZ57" i="17"/>
  <c r="BA57" i="17"/>
  <c r="BB57" i="17"/>
  <c r="BC57" i="17"/>
  <c r="BD57" i="17"/>
  <c r="BE57" i="17"/>
  <c r="BF57" i="17"/>
  <c r="BG57" i="17"/>
  <c r="BH57" i="17"/>
  <c r="BI57" i="17"/>
  <c r="BJ57" i="17"/>
  <c r="BK57" i="17"/>
  <c r="BL57" i="17"/>
  <c r="BM57" i="17"/>
  <c r="BN57" i="17"/>
  <c r="BO57" i="17"/>
  <c r="BP57" i="17"/>
  <c r="BQ57" i="17"/>
  <c r="BR57" i="17"/>
  <c r="BS57" i="17"/>
  <c r="BT57" i="17"/>
  <c r="BU57" i="17"/>
  <c r="BV57" i="17"/>
  <c r="BW57" i="17"/>
  <c r="BX57" i="17"/>
  <c r="BY57" i="17"/>
  <c r="BZ57" i="17"/>
  <c r="CA57" i="17"/>
  <c r="CB57" i="17"/>
  <c r="CC57" i="17"/>
  <c r="CD57" i="17"/>
  <c r="CE57" i="17"/>
  <c r="CF57" i="17"/>
  <c r="CG57" i="17"/>
  <c r="CH57" i="17"/>
  <c r="CI57" i="17"/>
  <c r="CJ57" i="17"/>
  <c r="CK57" i="17"/>
  <c r="CL57" i="17"/>
  <c r="CM57" i="17"/>
  <c r="CN57" i="17"/>
  <c r="J57" i="17"/>
  <c r="CO57" i="17" s="1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Y34" i="17"/>
  <c r="Z34" i="17"/>
  <c r="AA34" i="17"/>
  <c r="AB34" i="17"/>
  <c r="AC34" i="17"/>
  <c r="AD34" i="17"/>
  <c r="AE34" i="17"/>
  <c r="AF34" i="17"/>
  <c r="AG34" i="17"/>
  <c r="AH34" i="17"/>
  <c r="AI34" i="17"/>
  <c r="AJ34" i="17"/>
  <c r="AK34" i="17"/>
  <c r="AL34" i="17"/>
  <c r="AM34" i="17"/>
  <c r="AN34" i="17"/>
  <c r="AO34" i="17"/>
  <c r="AP34" i="17"/>
  <c r="AQ34" i="17"/>
  <c r="AR34" i="17"/>
  <c r="AS34" i="17"/>
  <c r="AT34" i="17"/>
  <c r="AU34" i="17"/>
  <c r="AV34" i="17"/>
  <c r="AW34" i="17"/>
  <c r="AX34" i="17"/>
  <c r="AY34" i="17"/>
  <c r="AZ34" i="17"/>
  <c r="BA34" i="17"/>
  <c r="BB34" i="17"/>
  <c r="BC34" i="17"/>
  <c r="BD34" i="17"/>
  <c r="BE34" i="17"/>
  <c r="BF34" i="17"/>
  <c r="BG34" i="17"/>
  <c r="BH34" i="17"/>
  <c r="BI34" i="17"/>
  <c r="BJ34" i="17"/>
  <c r="BK34" i="17"/>
  <c r="BL34" i="17"/>
  <c r="BM34" i="17"/>
  <c r="BN34" i="17"/>
  <c r="BO34" i="17"/>
  <c r="BP34" i="17"/>
  <c r="BQ34" i="17"/>
  <c r="BR34" i="17"/>
  <c r="BS34" i="17"/>
  <c r="BT34" i="17"/>
  <c r="BU34" i="17"/>
  <c r="BV34" i="17"/>
  <c r="BW34" i="17"/>
  <c r="BX34" i="17"/>
  <c r="BY34" i="17"/>
  <c r="BZ34" i="17"/>
  <c r="CA34" i="17"/>
  <c r="CB34" i="17"/>
  <c r="CC34" i="17"/>
  <c r="CD34" i="17"/>
  <c r="CE34" i="17"/>
  <c r="CF34" i="17"/>
  <c r="CG34" i="17"/>
  <c r="CH34" i="17"/>
  <c r="CI34" i="17"/>
  <c r="CJ34" i="17"/>
  <c r="CK34" i="17"/>
  <c r="CL34" i="17"/>
  <c r="CM34" i="17"/>
  <c r="CN34" i="17"/>
  <c r="J34" i="17"/>
  <c r="CO34" i="17" s="1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Y94" i="17"/>
  <c r="Z94" i="17"/>
  <c r="AA94" i="17"/>
  <c r="AB94" i="17"/>
  <c r="AC94" i="17"/>
  <c r="AD94" i="17"/>
  <c r="AE94" i="17"/>
  <c r="AF94" i="17"/>
  <c r="AG94" i="17"/>
  <c r="AH94" i="17"/>
  <c r="AI94" i="17"/>
  <c r="AJ94" i="17"/>
  <c r="AK94" i="17"/>
  <c r="AL94" i="17"/>
  <c r="AM94" i="17"/>
  <c r="AN94" i="17"/>
  <c r="AO94" i="17"/>
  <c r="AP94" i="17"/>
  <c r="AQ94" i="17"/>
  <c r="AR94" i="17"/>
  <c r="AS94" i="17"/>
  <c r="AT94" i="17"/>
  <c r="AU94" i="17"/>
  <c r="AV94" i="17"/>
  <c r="AW94" i="17"/>
  <c r="AX94" i="17"/>
  <c r="AY94" i="17"/>
  <c r="AZ94" i="17"/>
  <c r="BA94" i="17"/>
  <c r="BB94" i="17"/>
  <c r="BC94" i="17"/>
  <c r="BD94" i="17"/>
  <c r="BE94" i="17"/>
  <c r="BF94" i="17"/>
  <c r="BG94" i="17"/>
  <c r="BH94" i="17"/>
  <c r="BI94" i="17"/>
  <c r="BJ94" i="17"/>
  <c r="BK94" i="17"/>
  <c r="BL94" i="17"/>
  <c r="BM94" i="17"/>
  <c r="BN94" i="17"/>
  <c r="BO94" i="17"/>
  <c r="BP94" i="17"/>
  <c r="BQ94" i="17"/>
  <c r="BR94" i="17"/>
  <c r="BS94" i="17"/>
  <c r="BT94" i="17"/>
  <c r="BU94" i="17"/>
  <c r="BV94" i="17"/>
  <c r="BW94" i="17"/>
  <c r="BX94" i="17"/>
  <c r="BY94" i="17"/>
  <c r="BZ94" i="17"/>
  <c r="CA94" i="17"/>
  <c r="CB94" i="17"/>
  <c r="CC94" i="17"/>
  <c r="CD94" i="17"/>
  <c r="CE94" i="17"/>
  <c r="CF94" i="17"/>
  <c r="CG94" i="17"/>
  <c r="CH94" i="17"/>
  <c r="CI94" i="17"/>
  <c r="CJ94" i="17"/>
  <c r="CK94" i="17"/>
  <c r="CL94" i="17"/>
  <c r="CM94" i="17"/>
  <c r="CN94" i="17"/>
  <c r="E85" i="13"/>
  <c r="F85" i="13"/>
  <c r="D85" i="13"/>
  <c r="N3" i="22"/>
  <c r="N4" i="22"/>
  <c r="N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2" i="22"/>
  <c r="CO94" i="17" l="1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Y79" i="17"/>
  <c r="Z79" i="17"/>
  <c r="AA79" i="17"/>
  <c r="AB79" i="17"/>
  <c r="AC79" i="17"/>
  <c r="AD79" i="17"/>
  <c r="AE79" i="17"/>
  <c r="AF79" i="17"/>
  <c r="AG79" i="17"/>
  <c r="AH79" i="17"/>
  <c r="AI79" i="17"/>
  <c r="AJ79" i="17"/>
  <c r="AK79" i="17"/>
  <c r="AL79" i="17"/>
  <c r="AM79" i="17"/>
  <c r="AN79" i="17"/>
  <c r="AO79" i="17"/>
  <c r="AP79" i="17"/>
  <c r="AQ79" i="17"/>
  <c r="AR79" i="17"/>
  <c r="AS79" i="17"/>
  <c r="AT79" i="17"/>
  <c r="AU79" i="17"/>
  <c r="AV79" i="17"/>
  <c r="AW79" i="17"/>
  <c r="AX79" i="17"/>
  <c r="AY79" i="17"/>
  <c r="AZ79" i="17"/>
  <c r="BA79" i="17"/>
  <c r="BB79" i="17"/>
  <c r="BC79" i="17"/>
  <c r="BD79" i="17"/>
  <c r="BE79" i="17"/>
  <c r="BF79" i="17"/>
  <c r="BG79" i="17"/>
  <c r="BH79" i="17"/>
  <c r="BI79" i="17"/>
  <c r="BJ79" i="17"/>
  <c r="BK79" i="17"/>
  <c r="BL79" i="17"/>
  <c r="BM79" i="17"/>
  <c r="BN79" i="17"/>
  <c r="BO79" i="17"/>
  <c r="BP79" i="17"/>
  <c r="BQ79" i="17"/>
  <c r="BR79" i="17"/>
  <c r="BS79" i="17"/>
  <c r="BT79" i="17"/>
  <c r="BU79" i="17"/>
  <c r="BV79" i="17"/>
  <c r="BW79" i="17"/>
  <c r="BX79" i="17"/>
  <c r="BY79" i="17"/>
  <c r="BZ79" i="17"/>
  <c r="CA79" i="17"/>
  <c r="CB79" i="17"/>
  <c r="CC79" i="17"/>
  <c r="CD79" i="17"/>
  <c r="CE79" i="17"/>
  <c r="CF79" i="17"/>
  <c r="CG79" i="17"/>
  <c r="CH79" i="17"/>
  <c r="CI79" i="17"/>
  <c r="CJ79" i="17"/>
  <c r="CK79" i="17"/>
  <c r="CL79" i="17"/>
  <c r="CM79" i="17"/>
  <c r="CN79" i="17"/>
  <c r="J79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Y56" i="17"/>
  <c r="Z56" i="17"/>
  <c r="AA56" i="17"/>
  <c r="AB56" i="17"/>
  <c r="AC56" i="17"/>
  <c r="AD56" i="17"/>
  <c r="AE56" i="17"/>
  <c r="AF56" i="17"/>
  <c r="AG56" i="17"/>
  <c r="AH56" i="17"/>
  <c r="AI56" i="17"/>
  <c r="AJ56" i="17"/>
  <c r="AK56" i="17"/>
  <c r="AL56" i="17"/>
  <c r="AM56" i="17"/>
  <c r="AN56" i="17"/>
  <c r="AO56" i="17"/>
  <c r="AP56" i="17"/>
  <c r="AQ56" i="17"/>
  <c r="AR56" i="17"/>
  <c r="AS56" i="17"/>
  <c r="AT56" i="17"/>
  <c r="AU56" i="17"/>
  <c r="AV56" i="17"/>
  <c r="AW56" i="17"/>
  <c r="AX56" i="17"/>
  <c r="AY56" i="17"/>
  <c r="AZ56" i="17"/>
  <c r="BA56" i="17"/>
  <c r="BB56" i="17"/>
  <c r="BC56" i="17"/>
  <c r="BD56" i="17"/>
  <c r="BE56" i="17"/>
  <c r="BF56" i="17"/>
  <c r="BG56" i="17"/>
  <c r="BH56" i="17"/>
  <c r="BI56" i="17"/>
  <c r="BJ56" i="17"/>
  <c r="BK56" i="17"/>
  <c r="BL56" i="17"/>
  <c r="BM56" i="17"/>
  <c r="BN56" i="17"/>
  <c r="BO56" i="17"/>
  <c r="BP56" i="17"/>
  <c r="BQ56" i="17"/>
  <c r="BR56" i="17"/>
  <c r="BS56" i="17"/>
  <c r="BT56" i="17"/>
  <c r="BU56" i="17"/>
  <c r="BV56" i="17"/>
  <c r="BW56" i="17"/>
  <c r="BX56" i="17"/>
  <c r="BY56" i="17"/>
  <c r="BZ56" i="17"/>
  <c r="CA56" i="17"/>
  <c r="CB56" i="17"/>
  <c r="CC56" i="17"/>
  <c r="CD56" i="17"/>
  <c r="CE56" i="17"/>
  <c r="CF56" i="17"/>
  <c r="CG56" i="17"/>
  <c r="CH56" i="17"/>
  <c r="CI56" i="17"/>
  <c r="CJ56" i="17"/>
  <c r="CK56" i="17"/>
  <c r="CL56" i="17"/>
  <c r="CM56" i="17"/>
  <c r="CN56" i="17"/>
  <c r="J56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Y33" i="17"/>
  <c r="Z33" i="17"/>
  <c r="AA33" i="17"/>
  <c r="AB33" i="17"/>
  <c r="AC33" i="17"/>
  <c r="AD33" i="17"/>
  <c r="AE33" i="17"/>
  <c r="AF33" i="17"/>
  <c r="AG33" i="17"/>
  <c r="AH33" i="17"/>
  <c r="AI33" i="17"/>
  <c r="AJ33" i="17"/>
  <c r="AK33" i="17"/>
  <c r="AL33" i="17"/>
  <c r="AM33" i="17"/>
  <c r="AN33" i="17"/>
  <c r="AO33" i="17"/>
  <c r="AP33" i="17"/>
  <c r="AQ33" i="17"/>
  <c r="AR33" i="17"/>
  <c r="AS33" i="17"/>
  <c r="AT33" i="17"/>
  <c r="AU33" i="17"/>
  <c r="AV33" i="17"/>
  <c r="AW33" i="17"/>
  <c r="AX33" i="17"/>
  <c r="AY33" i="17"/>
  <c r="AZ33" i="17"/>
  <c r="BA33" i="17"/>
  <c r="BB33" i="17"/>
  <c r="BC33" i="17"/>
  <c r="BD33" i="17"/>
  <c r="BE33" i="17"/>
  <c r="BF33" i="17"/>
  <c r="BG33" i="17"/>
  <c r="BH33" i="17"/>
  <c r="BI33" i="17"/>
  <c r="BJ33" i="17"/>
  <c r="BK33" i="17"/>
  <c r="BL33" i="17"/>
  <c r="BM33" i="17"/>
  <c r="BN33" i="17"/>
  <c r="BO33" i="17"/>
  <c r="BP33" i="17"/>
  <c r="BQ33" i="17"/>
  <c r="BR33" i="17"/>
  <c r="BS33" i="17"/>
  <c r="BT33" i="17"/>
  <c r="BU33" i="17"/>
  <c r="BV33" i="17"/>
  <c r="BW33" i="17"/>
  <c r="BX33" i="17"/>
  <c r="BY33" i="17"/>
  <c r="BZ33" i="17"/>
  <c r="CA33" i="17"/>
  <c r="CB33" i="17"/>
  <c r="CC33" i="17"/>
  <c r="CD33" i="17"/>
  <c r="CE33" i="17"/>
  <c r="CF33" i="17"/>
  <c r="CG33" i="17"/>
  <c r="CH33" i="17"/>
  <c r="CI33" i="17"/>
  <c r="CJ33" i="17"/>
  <c r="CK33" i="17"/>
  <c r="CL33" i="17"/>
  <c r="CM33" i="17"/>
  <c r="CN33" i="17"/>
  <c r="J33" i="17"/>
  <c r="CO33" i="17" l="1"/>
  <c r="CO56" i="17"/>
  <c r="CO79" i="17"/>
</calcChain>
</file>

<file path=xl/sharedStrings.xml><?xml version="1.0" encoding="utf-8"?>
<sst xmlns="http://schemas.openxmlformats.org/spreadsheetml/2006/main" count="2111" uniqueCount="422">
  <si>
    <t>#ID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</si>
  <si>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</si>
  <si>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</si>
  <si>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</si>
  <si>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</si>
  <si>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</si>
  <si>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</si>
  <si>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</si>
  <si>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</si>
  <si>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</si>
  <si>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</si>
  <si>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</si>
  <si>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</si>
  <si>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</si>
  <si>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</si>
  <si>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</si>
  <si>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</si>
  <si>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</si>
  <si>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</si>
  <si>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</si>
  <si>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</si>
  <si>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</si>
  <si>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</si>
  <si>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</si>
  <si>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</si>
  <si>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</si>
  <si>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</si>
  <si>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</si>
  <si>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</si>
  <si>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</si>
  <si>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</si>
  <si>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</si>
  <si>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</si>
  <si>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</si>
  <si>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</si>
  <si>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</si>
  <si>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</si>
  <si>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</si>
  <si>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</si>
  <si>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</si>
  <si>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</si>
  <si>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</si>
  <si>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</si>
  <si>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</si>
  <si>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</si>
  <si>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</si>
  <si>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</si>
  <si>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</si>
  <si>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</si>
  <si>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</si>
  <si>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</si>
  <si>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</si>
  <si>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</si>
  <si>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</si>
  <si>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</si>
  <si>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</si>
  <si>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</si>
  <si>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</si>
  <si>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</si>
  <si>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</si>
  <si>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</si>
  <si>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</si>
  <si>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</si>
  <si>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</si>
  <si>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</si>
  <si>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</si>
  <si>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</si>
  <si>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</si>
  <si>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</si>
  <si>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</si>
  <si>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</si>
  <si>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</si>
  <si>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</si>
  <si>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</si>
  <si>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</si>
  <si>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</si>
  <si>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</si>
  <si>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</si>
  <si>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</si>
  <si>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</si>
  <si>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</si>
  <si>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</si>
  <si>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</si>
  <si>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</si>
  <si>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</si>
  <si>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16S</t>
  </si>
  <si>
    <t>taxonomic</t>
  </si>
  <si>
    <t>AAC(3)-Ia</t>
  </si>
  <si>
    <t>aminoglycoside antibiotic</t>
  </si>
  <si>
    <t>antibiotic inactivation</t>
  </si>
  <si>
    <t>AAC(3)-Ib</t>
  </si>
  <si>
    <t>AAC(3)-Iic</t>
  </si>
  <si>
    <t>Aac(3)-iid_iia_iie</t>
  </si>
  <si>
    <t>AAC(3)-IId_IIa_Iie</t>
  </si>
  <si>
    <t>AAC(3)-IV</t>
  </si>
  <si>
    <t>AAC(3)-Via</t>
  </si>
  <si>
    <t>AAC(3)-Xa</t>
  </si>
  <si>
    <t>AAC(6')-Ib</t>
  </si>
  <si>
    <t>aac(6')-ie-aph(2'')-ia</t>
  </si>
  <si>
    <t>AAC(6')-Ie-APH(2'')-Ia</t>
  </si>
  <si>
    <t>AAC(6')-IIa</t>
  </si>
  <si>
    <t>AAC(6')-Im</t>
  </si>
  <si>
    <t>AAC(6')-Ip</t>
  </si>
  <si>
    <t>AAC(6')-Ir</t>
  </si>
  <si>
    <t>aacA_aphD</t>
  </si>
  <si>
    <t>aacA43</t>
  </si>
  <si>
    <t>aadA</t>
  </si>
  <si>
    <t>aadA10</t>
  </si>
  <si>
    <t>aadA16</t>
  </si>
  <si>
    <t>aadA17</t>
  </si>
  <si>
    <t>aadA2</t>
  </si>
  <si>
    <t>aadA21</t>
  </si>
  <si>
    <t>aadA5</t>
  </si>
  <si>
    <t>aadA7</t>
  </si>
  <si>
    <t>aadA9</t>
  </si>
  <si>
    <t>ACC-1</t>
  </si>
  <si>
    <t>beta-lactamase</t>
  </si>
  <si>
    <t>acrA</t>
  </si>
  <si>
    <t>multidrug</t>
  </si>
  <si>
    <t>antibiotic efflux</t>
  </si>
  <si>
    <t>acrB</t>
  </si>
  <si>
    <t>AcrF</t>
  </si>
  <si>
    <t>acrF</t>
  </si>
  <si>
    <t>acrR</t>
  </si>
  <si>
    <t>antibiotic target alteration, antibiotic efflux</t>
  </si>
  <si>
    <t>ACT beta-lac</t>
  </si>
  <si>
    <t>ACT beta-lactamase</t>
  </si>
  <si>
    <t>ADC beta-lac</t>
  </si>
  <si>
    <t>ADC beta-lactamase</t>
  </si>
  <si>
    <t>adeA</t>
  </si>
  <si>
    <t>adeI</t>
  </si>
  <si>
    <t>AmpC beta-lac</t>
  </si>
  <si>
    <t>AmpC beta-lactamase</t>
  </si>
  <si>
    <t>ANT(2'')-Ia</t>
  </si>
  <si>
    <t>ANT(4')</t>
  </si>
  <si>
    <t>ANT(6)</t>
  </si>
  <si>
    <t>APH(3')-Ia</t>
  </si>
  <si>
    <t>APH(3'')-Ia</t>
  </si>
  <si>
    <t>APH(3')-Ib</t>
  </si>
  <si>
    <t>APH(4)-Ib</t>
  </si>
  <si>
    <t>APH(6)-Ia</t>
  </si>
  <si>
    <t>APH(6)-Ic</t>
  </si>
  <si>
    <t>APH(6)-Id</t>
  </si>
  <si>
    <t>APH(9)-Ib</t>
  </si>
  <si>
    <t>APH3-III</t>
  </si>
  <si>
    <t>APHA3</t>
  </si>
  <si>
    <t>bacA</t>
  </si>
  <si>
    <t>peptide antibiotic</t>
  </si>
  <si>
    <t>antibiotic target alteration</t>
  </si>
  <si>
    <t>Bla1</t>
  </si>
  <si>
    <t>blaSFO</t>
  </si>
  <si>
    <t>CARB beta-lac</t>
  </si>
  <si>
    <t>CARB beta-lactamase</t>
  </si>
  <si>
    <t>CARB-2</t>
  </si>
  <si>
    <t>catB3</t>
  </si>
  <si>
    <t>phenicol antibiotic</t>
  </si>
  <si>
    <t>catQ</t>
  </si>
  <si>
    <t>CcrA beta-lac</t>
  </si>
  <si>
    <t>CcrA beta-lactamase</t>
  </si>
  <si>
    <t>cefa_qacelta</t>
  </si>
  <si>
    <t>ceoA</t>
  </si>
  <si>
    <t>cepA beta-lac</t>
  </si>
  <si>
    <t>cepA beta-lactamase</t>
  </si>
  <si>
    <t>class C beta-lac</t>
  </si>
  <si>
    <t>class C beta-lactamase</t>
  </si>
  <si>
    <t>cmlA1</t>
  </si>
  <si>
    <t>cmlA5</t>
  </si>
  <si>
    <t>cmlv</t>
  </si>
  <si>
    <t>cmr</t>
  </si>
  <si>
    <t>cmx</t>
  </si>
  <si>
    <t>CMY beta-lac</t>
  </si>
  <si>
    <t>CMY beta-lactamase</t>
  </si>
  <si>
    <t>CphA beta-lac</t>
  </si>
  <si>
    <t>CphA beta-lactamase</t>
  </si>
  <si>
    <t>CTX-M beta-lac</t>
  </si>
  <si>
    <t>CTX-M beta-lactamase</t>
  </si>
  <si>
    <t>dfrA1</t>
  </si>
  <si>
    <t>diaminopyrimidine antibiotic</t>
  </si>
  <si>
    <t>antibiotic target replacement</t>
  </si>
  <si>
    <t>dfrA21</t>
  </si>
  <si>
    <t>dfrC</t>
  </si>
  <si>
    <t>dfrG</t>
  </si>
  <si>
    <t>dfrK</t>
  </si>
  <si>
    <t>DHA beta-lac</t>
  </si>
  <si>
    <t>DHA beta-lactamase</t>
  </si>
  <si>
    <t>emrD</t>
  </si>
  <si>
    <t>EreA</t>
  </si>
  <si>
    <t>MLSB</t>
  </si>
  <si>
    <t>EreB</t>
  </si>
  <si>
    <t>Erm(34)</t>
  </si>
  <si>
    <t>Erm(35)</t>
  </si>
  <si>
    <t>Erm(36)</t>
  </si>
  <si>
    <t>Erm(42)</t>
  </si>
  <si>
    <t>Erm(K)</t>
  </si>
  <si>
    <t>erm(O)</t>
  </si>
  <si>
    <t>ermA_ermTR</t>
  </si>
  <si>
    <t>ErmB</t>
  </si>
  <si>
    <t>ErmD</t>
  </si>
  <si>
    <t>ErmE</t>
  </si>
  <si>
    <t>ErmF</t>
  </si>
  <si>
    <t>ErmG</t>
  </si>
  <si>
    <t>ErmQ</t>
  </si>
  <si>
    <t>ErmX</t>
  </si>
  <si>
    <t>fexA</t>
  </si>
  <si>
    <t>floR</t>
  </si>
  <si>
    <t>FOX beta-lac</t>
  </si>
  <si>
    <t>FOX beta-lactamase</t>
  </si>
  <si>
    <t>GES beta-lac</t>
  </si>
  <si>
    <t>GES beta-lactamase</t>
  </si>
  <si>
    <t>IMI beta-lac</t>
  </si>
  <si>
    <t>IMI beta-lactamase</t>
  </si>
  <si>
    <t>IMIR beta-lac</t>
  </si>
  <si>
    <t>IMIR beta-lactamase</t>
  </si>
  <si>
    <t>IncHI2-smr0018</t>
  </si>
  <si>
    <t>MGE</t>
  </si>
  <si>
    <t>IncI1_repI1</t>
  </si>
  <si>
    <t>IncP_oriT</t>
  </si>
  <si>
    <t xml:space="preserve">Plasmid-inc </t>
  </si>
  <si>
    <t>plasmid</t>
  </si>
  <si>
    <t>intI1_337old</t>
  </si>
  <si>
    <t>Integrase</t>
  </si>
  <si>
    <t>IS1247</t>
  </si>
  <si>
    <t>IS200-2</t>
  </si>
  <si>
    <t>IS200</t>
  </si>
  <si>
    <t>IS21-ISAs29</t>
  </si>
  <si>
    <t>IS256</t>
  </si>
  <si>
    <t>IS26</t>
  </si>
  <si>
    <t>IS6/257</t>
  </si>
  <si>
    <t>IS6100</t>
  </si>
  <si>
    <t>IS613</t>
  </si>
  <si>
    <t>Transposase</t>
  </si>
  <si>
    <t>IS630</t>
  </si>
  <si>
    <t>IS91</t>
  </si>
  <si>
    <t>ISEcp1</t>
  </si>
  <si>
    <t>ISPps1-pseud</t>
  </si>
  <si>
    <t xml:space="preserve">Insertional </t>
  </si>
  <si>
    <t>ISSm2-Xanthob</t>
  </si>
  <si>
    <t>L1 beta-lac</t>
  </si>
  <si>
    <t>L1 beta-lactamase</t>
  </si>
  <si>
    <t>lnuA</t>
  </si>
  <si>
    <t>lnuB</t>
  </si>
  <si>
    <t>lnuC</t>
  </si>
  <si>
    <t>lnuF</t>
  </si>
  <si>
    <t>marR</t>
  </si>
  <si>
    <t>MCR-1.1</t>
  </si>
  <si>
    <t>mdtA</t>
  </si>
  <si>
    <t>mdtE</t>
  </si>
  <si>
    <t>mdtG</t>
  </si>
  <si>
    <t>mdtH</t>
  </si>
  <si>
    <t>fluoroquinolone antibiotic</t>
  </si>
  <si>
    <t>MdtK</t>
  </si>
  <si>
    <t>mef(B)</t>
  </si>
  <si>
    <t>mel_1</t>
  </si>
  <si>
    <t>mel</t>
  </si>
  <si>
    <t>Multidrug</t>
  </si>
  <si>
    <t>antibiotic target protection</t>
  </si>
  <si>
    <t>mepA</t>
  </si>
  <si>
    <t>MexA</t>
  </si>
  <si>
    <t>MexB</t>
  </si>
  <si>
    <t>MexE</t>
  </si>
  <si>
    <t>MIR beta-lac</t>
  </si>
  <si>
    <t>MIR beta-lactamase</t>
  </si>
  <si>
    <t>mobA</t>
  </si>
  <si>
    <t>mphA</t>
  </si>
  <si>
    <t>mphB</t>
  </si>
  <si>
    <t>msrE</t>
  </si>
  <si>
    <t>mtrD</t>
  </si>
  <si>
    <t>nimE</t>
  </si>
  <si>
    <t>deactivate</t>
  </si>
  <si>
    <t>OCH beta-lac</t>
  </si>
  <si>
    <t>OCH beta-lactamase</t>
  </si>
  <si>
    <t>oleC</t>
  </si>
  <si>
    <t>OprD</t>
  </si>
  <si>
    <t>oprD</t>
  </si>
  <si>
    <t>"reduced permeability to antibiotic" and “resistance by absence”</t>
  </si>
  <si>
    <t>optrA</t>
  </si>
  <si>
    <t>oqxA</t>
  </si>
  <si>
    <t>OXA-10</t>
  </si>
  <si>
    <t>OXY-1-1</t>
  </si>
  <si>
    <t>PDC beta-lac</t>
  </si>
  <si>
    <t>PDC beta-lactamase</t>
  </si>
  <si>
    <t>penA</t>
  </si>
  <si>
    <t>pica</t>
  </si>
  <si>
    <t>pikR2</t>
  </si>
  <si>
    <t>qacA_B</t>
  </si>
  <si>
    <t>qacF_H</t>
  </si>
  <si>
    <t>qacH_351</t>
  </si>
  <si>
    <t>QepA_1_2</t>
  </si>
  <si>
    <t>QnrB4</t>
  </si>
  <si>
    <t>QnrD</t>
  </si>
  <si>
    <t>Qnrvc1_vc3_vc6</t>
  </si>
  <si>
    <t>QnrVC1_VC3_VC6</t>
  </si>
  <si>
    <t>ROB-1</t>
  </si>
  <si>
    <t>SHV-11</t>
  </si>
  <si>
    <t>str</t>
  </si>
  <si>
    <t>strA</t>
  </si>
  <si>
    <t>sugE</t>
  </si>
  <si>
    <t>unknown</t>
  </si>
  <si>
    <t>sul1</t>
  </si>
  <si>
    <t>sulfonamide antibiotic</t>
  </si>
  <si>
    <t>sul2</t>
  </si>
  <si>
    <t>sulA_folP</t>
  </si>
  <si>
    <t>TEM beta-lac</t>
  </si>
  <si>
    <t>TEM beta-lactamase</t>
  </si>
  <si>
    <t>tet(44)</t>
  </si>
  <si>
    <t>tetracycline antibiotic</t>
  </si>
  <si>
    <t>tet32</t>
  </si>
  <si>
    <t>tetA</t>
  </si>
  <si>
    <t>tetB(P)</t>
  </si>
  <si>
    <t>tetD</t>
  </si>
  <si>
    <t>tetG</t>
  </si>
  <si>
    <t>tetL</t>
  </si>
  <si>
    <t>tetM</t>
  </si>
  <si>
    <t>tetO</t>
  </si>
  <si>
    <t>tetPB</t>
  </si>
  <si>
    <t>tetQ</t>
  </si>
  <si>
    <t>tetR</t>
  </si>
  <si>
    <t>tetT</t>
  </si>
  <si>
    <t>tetU</t>
  </si>
  <si>
    <t>tetW</t>
  </si>
  <si>
    <t>tetX</t>
  </si>
  <si>
    <t>Tn3</t>
  </si>
  <si>
    <t>TN5403</t>
  </si>
  <si>
    <t>tnpA-1</t>
  </si>
  <si>
    <t>tnpA</t>
  </si>
  <si>
    <t>tnpA-2</t>
  </si>
  <si>
    <t>tnpA-3</t>
  </si>
  <si>
    <t>tnpA-4</t>
  </si>
  <si>
    <t>tnpA-5</t>
  </si>
  <si>
    <t>tnpA-6</t>
  </si>
  <si>
    <t>tnpA-7</t>
  </si>
  <si>
    <t>tolC</t>
  </si>
  <si>
    <t>Tp614</t>
  </si>
  <si>
    <t>traN</t>
  </si>
  <si>
    <t>trb-C</t>
  </si>
  <si>
    <t>ttgA</t>
  </si>
  <si>
    <t>ttgB</t>
  </si>
  <si>
    <t>vanA</t>
  </si>
  <si>
    <t>glycopeptide antibiotic</t>
  </si>
  <si>
    <t>vanB</t>
  </si>
  <si>
    <t>VanB</t>
  </si>
  <si>
    <t>vanC</t>
  </si>
  <si>
    <t>vanC2_vanC3</t>
  </si>
  <si>
    <t>vanHB</t>
  </si>
  <si>
    <t>vanHD</t>
  </si>
  <si>
    <t>vanRA</t>
  </si>
  <si>
    <t>vanRB</t>
  </si>
  <si>
    <t>vanSB</t>
  </si>
  <si>
    <t>vanTC</t>
  </si>
  <si>
    <t>vanYB</t>
  </si>
  <si>
    <t>vanYD</t>
  </si>
  <si>
    <t>vatA</t>
  </si>
  <si>
    <t>vatE</t>
  </si>
  <si>
    <t>VEB beta-lac</t>
  </si>
  <si>
    <t>VEB beta-lactamase</t>
  </si>
  <si>
    <t>vgaB</t>
  </si>
  <si>
    <t>VIM beta-lac</t>
  </si>
  <si>
    <t>VIM beta-lactamase</t>
  </si>
  <si>
    <t>MGEs</t>
  </si>
  <si>
    <t>cellular protection</t>
  </si>
  <si>
    <t>Aminoglycoside</t>
  </si>
  <si>
    <t>Beta-lactamase</t>
  </si>
  <si>
    <t>Diaminopyrimidine</t>
  </si>
  <si>
    <t>Fluoroquinolone</t>
  </si>
  <si>
    <t>Glycopeptide</t>
  </si>
  <si>
    <t>Phenicol</t>
  </si>
  <si>
    <t>Sulfonamide</t>
  </si>
  <si>
    <t>Tetracycline</t>
  </si>
  <si>
    <t>#name</t>
    <phoneticPr fontId="5" type="noConversion"/>
  </si>
  <si>
    <t>#ARO Term</t>
  </si>
  <si>
    <t>Human accessibility</t>
  </si>
  <si>
    <t>Mobility</t>
  </si>
  <si>
    <t>Human pathogenicity</t>
  </si>
  <si>
    <t>Clinical availability</t>
  </si>
  <si>
    <t>risk</t>
  </si>
  <si>
    <t>Rank</t>
  </si>
  <si>
    <t>ARG Class</t>
  </si>
  <si>
    <t>Q2</t>
  </si>
  <si>
    <t>AAC(3)-IIc</t>
  </si>
  <si>
    <t>Q3</t>
  </si>
  <si>
    <t>Q4</t>
  </si>
  <si>
    <t>Q1</t>
  </si>
  <si>
    <t>Beta-lactams</t>
  </si>
  <si>
    <t>BLA1</t>
  </si>
  <si>
    <t>MLS</t>
  </si>
  <si>
    <t>aminocoumarin antibiotic</t>
  </si>
  <si>
    <t>fosfomycin</t>
  </si>
  <si>
    <t>mdtK</t>
  </si>
  <si>
    <t>#</t>
    <phoneticPr fontId="4" type="noConversion"/>
  </si>
  <si>
    <t>SampleID</t>
  </si>
  <si>
    <t>High</t>
  </si>
  <si>
    <t>Low</t>
  </si>
  <si>
    <t>ARGs</t>
    <phoneticPr fontId="6" type="noConversion"/>
  </si>
  <si>
    <t>class</t>
    <phoneticPr fontId="6" type="noConversion"/>
  </si>
  <si>
    <t>Low</t>
    <phoneticPr fontId="6" type="noConversion"/>
  </si>
  <si>
    <t>High</t>
    <phoneticPr fontId="6" type="noConversion"/>
  </si>
  <si>
    <t>group</t>
    <phoneticPr fontId="6" type="noConversion"/>
  </si>
  <si>
    <t>TAC</t>
    <phoneticPr fontId="6" type="noConversion"/>
  </si>
  <si>
    <t>#SampleID</t>
    <phoneticPr fontId="6" type="noConversion"/>
  </si>
  <si>
    <t>Diveristy</t>
    <phoneticPr fontId="6" type="noConversion"/>
  </si>
  <si>
    <t>group</t>
    <phoneticPr fontId="4" type="noConversion"/>
  </si>
  <si>
    <t>Q1</t>
    <phoneticPr fontId="6" type="noConversion"/>
  </si>
  <si>
    <t>Q2</t>
    <phoneticPr fontId="6" type="noConversion"/>
  </si>
  <si>
    <t>Q3</t>
    <phoneticPr fontId="6" type="noConversion"/>
  </si>
  <si>
    <t>Q4</t>
    <phoneticPr fontId="6" type="noConversion"/>
  </si>
  <si>
    <t>Abundance</t>
    <phoneticPr fontId="6" type="noConversion"/>
  </si>
  <si>
    <t>Other</t>
    <phoneticPr fontId="6" type="noConversion"/>
  </si>
  <si>
    <t>Antibiotic efflux</t>
    <phoneticPr fontId="4" type="noConversion"/>
  </si>
  <si>
    <t>Antibiotic inactivation</t>
    <phoneticPr fontId="4" type="noConversion"/>
  </si>
  <si>
    <t>Cellular protection</t>
    <phoneticPr fontId="4" type="noConversion"/>
  </si>
  <si>
    <t>Class</t>
    <phoneticPr fontId="4" type="noConversion"/>
  </si>
  <si>
    <t>Abundance</t>
    <phoneticPr fontId="4" type="noConversion"/>
  </si>
  <si>
    <t>Number</t>
    <phoneticPr fontId="4" type="noConversion"/>
  </si>
  <si>
    <t>Q1</t>
    <phoneticPr fontId="4" type="noConversion"/>
  </si>
  <si>
    <t>Q2</t>
    <phoneticPr fontId="4" type="noConversion"/>
  </si>
  <si>
    <t>Q3</t>
    <phoneticPr fontId="4" type="noConversion"/>
  </si>
  <si>
    <t>Q4</t>
    <phoneticPr fontId="4" type="noConversion"/>
  </si>
  <si>
    <t>Gene_target</t>
    <phoneticPr fontId="4" type="noConversion"/>
  </si>
  <si>
    <t>Drug Class</t>
    <phoneticPr fontId="4" type="noConversion"/>
  </si>
  <si>
    <t>Resistance Mechanism</t>
    <phoneticPr fontId="4" type="noConversion"/>
  </si>
  <si>
    <t>Richness</t>
    <phoneticPr fontId="6" type="noConversion"/>
  </si>
  <si>
    <t>#Resistance Mechanism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</si>
</sst>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0" fillId="2" borderId="0" xfId="0" applyFill="1" applyAlignment="1">
      <alignment vertical="center"/>
    </xf>
    <xf numFmtId="0" fontId="0" fillId="2" borderId="0" xfId="0" applyFill="1"/>
    <xf numFmtId="0" fontId="0" fillId="3" borderId="0" xfId="0" applyFill="1" applyAlignment="1">
      <alignment vertical="center"/>
    </xf>
    <xf numFmtId="0" fontId="0" fillId="3" borderId="0" xfId="0" applyFill="1"/>
    <xf numFmtId="0" fontId="0" fillId="4" borderId="0" xfId="0" applyFill="1" applyAlignment="1">
      <alignment vertical="center"/>
    </xf>
    <xf numFmtId="0" fontId="0" fillId="4" borderId="0" xfId="0" applyFill="1"/>
    <xf numFmtId="0" fontId="0" fillId="5" borderId="0" xfId="0" applyFill="1" applyAlignment="1">
      <alignment vertical="center"/>
    </xf>
    <xf numFmtId="0" fontId="0" fillId="5" borderId="0" xfId="0" applyFill="1"/>
    <xf numFmtId="0" fontId="3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08"/>
  <sheetViews>
    <sheetView tabSelected="1" zoomScale="115" zoomScaleNormal="115" workbookViewId="0">
      <selection activeCell="C20" sqref="C20"/>
    </sheetView>
  </sheetViews>
  <sheetFormatPr defaultColWidth="9" defaultRowHeight="14.25" x14ac:dyDescent="0.2"/>
  <cols>
    <col min="1" max="1" width="19.25" customWidth="1"/>
    <col min="2" max="2" width="28.75" style="2" customWidth="1"/>
    <col min="3" max="3" width="26.25" style="2" customWidth="1"/>
    <col min="4" max="4" width="58.25" style="2" customWidth="1"/>
  </cols>
  <sheetData>
    <row r="1" spans="1:88" x14ac:dyDescent="0.2">
      <c r="A1" t="s">
        <v>0</v>
      </c>
      <c r="B1" s="5" t="s">
        <v>417</v>
      </c>
      <c r="C1" s="5" t="s">
        <v>418</v>
      </c>
      <c r="D1" s="5" t="s">
        <v>419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82</v>
      </c>
      <c r="CH1" t="s">
        <v>83</v>
      </c>
      <c r="CI1" t="s">
        <v>84</v>
      </c>
      <c r="CJ1" s="5" t="s">
        <v>388</v>
      </c>
    </row>
    <row r="2" spans="1:88" ht="15" x14ac:dyDescent="0.25">
      <c r="A2" t="s">
        <v>85</v>
      </c>
      <c r="B2" s="3" t="s">
        <v>85</v>
      </c>
      <c r="C2" s="4" t="s">
        <v>86</v>
      </c>
      <c r="D2" s="4"/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f>MAX(E2:CI2)</f>
        <v>1</v>
      </c>
    </row>
    <row r="3" spans="1:88" x14ac:dyDescent="0.2">
      <c r="A3" t="s">
        <v>87</v>
      </c>
      <c r="B3" t="s">
        <v>87</v>
      </c>
      <c r="C3" t="s">
        <v>88</v>
      </c>
      <c r="D3" t="s">
        <v>89</v>
      </c>
      <c r="E3">
        <v>2.0187103050453299E-4</v>
      </c>
      <c r="F3">
        <v>9.0656928318886803E-5</v>
      </c>
      <c r="G3">
        <v>4.0373555753926802E-4</v>
      </c>
      <c r="H3">
        <v>9.44339161197569E-5</v>
      </c>
      <c r="I3">
        <v>0</v>
      </c>
      <c r="J3">
        <v>0</v>
      </c>
      <c r="K3">
        <v>3.4593141236928402E-4</v>
      </c>
      <c r="L3">
        <v>6.5498748212815207E-5</v>
      </c>
      <c r="M3">
        <v>4.8585871811911098E-5</v>
      </c>
      <c r="N3">
        <v>0</v>
      </c>
      <c r="O3">
        <v>8.4806082102033303E-5</v>
      </c>
      <c r="P3">
        <v>0</v>
      </c>
      <c r="Q3">
        <v>4.6614282089249899E-5</v>
      </c>
      <c r="R3">
        <v>0</v>
      </c>
      <c r="S3">
        <v>1.45533843812048E-4</v>
      </c>
      <c r="T3">
        <v>1.4400481049901901E-4</v>
      </c>
      <c r="U3">
        <v>2.3868438065586899E-4</v>
      </c>
      <c r="V3">
        <v>8.1283800264429594E-5</v>
      </c>
      <c r="W3">
        <v>0</v>
      </c>
      <c r="X3">
        <v>0</v>
      </c>
      <c r="Y3">
        <v>1.2818907095000099E-4</v>
      </c>
      <c r="Z3">
        <v>2.8841975261037602E-5</v>
      </c>
      <c r="AA3">
        <v>3.35348215765126E-4</v>
      </c>
      <c r="AB3">
        <v>3.4818335042080001E-5</v>
      </c>
      <c r="AC3">
        <v>8.6339792383956801E-4</v>
      </c>
      <c r="AD3">
        <v>1.33176930215307E-4</v>
      </c>
      <c r="AE3">
        <v>1.8917554769633699E-4</v>
      </c>
      <c r="AF3">
        <v>3.1967303184237197E-4</v>
      </c>
      <c r="AG3">
        <v>1.3655292271137E-4</v>
      </c>
      <c r="AH3">
        <v>1.0973495755562E-4</v>
      </c>
      <c r="AI3">
        <v>6.1714185276302207E-5</v>
      </c>
      <c r="AJ3">
        <v>6.6188722666534901E-5</v>
      </c>
      <c r="AK3">
        <v>1.7178490537286001E-4</v>
      </c>
      <c r="AL3">
        <v>1.3739407355881601E-4</v>
      </c>
      <c r="AM3">
        <v>3.5673769346506801E-4</v>
      </c>
      <c r="AN3">
        <v>8.2452722470982104E-5</v>
      </c>
      <c r="AO3">
        <v>2.14316199864235E-5</v>
      </c>
      <c r="AP3">
        <v>5.3368254660686298E-5</v>
      </c>
      <c r="AQ3">
        <v>0</v>
      </c>
      <c r="AR3">
        <v>7.7299912087612597E-5</v>
      </c>
      <c r="AS3">
        <v>3.5340199758262402E-4</v>
      </c>
      <c r="AT3">
        <v>2.0274913031647201E-5</v>
      </c>
      <c r="AU3">
        <v>4.59016185935186E-4</v>
      </c>
      <c r="AV3">
        <v>1.3371711563265199E-4</v>
      </c>
      <c r="AW3">
        <v>3.3771472724878899E-4</v>
      </c>
      <c r="AX3">
        <v>3.1235179064129602E-4</v>
      </c>
      <c r="AY3">
        <v>5.5732689324194495E-4</v>
      </c>
      <c r="AZ3">
        <v>6.7423454466650505E-4</v>
      </c>
      <c r="BA3">
        <v>7.0260623589463102E-4</v>
      </c>
      <c r="BB3">
        <v>3.4518665703675799E-4</v>
      </c>
      <c r="BC3">
        <v>3.5667609236715602E-4</v>
      </c>
      <c r="BD3">
        <v>5.6633447547057203E-4</v>
      </c>
      <c r="BE3">
        <v>1.1036058654404E-4</v>
      </c>
      <c r="BF3">
        <v>3.5306283162102401E-4</v>
      </c>
      <c r="BG3">
        <v>0</v>
      </c>
      <c r="BH3">
        <v>6.9340185635130699E-4</v>
      </c>
      <c r="BI3">
        <v>2.3665517187338901E-4</v>
      </c>
      <c r="BJ3">
        <v>4.4364439600482299E-4</v>
      </c>
      <c r="BK3">
        <v>1.63927192123796E-4</v>
      </c>
      <c r="BL3">
        <v>6.8909008326054901E-4</v>
      </c>
      <c r="BM3">
        <v>2.6182734386181398E-4</v>
      </c>
      <c r="BN3">
        <v>3.4875544754849302E-4</v>
      </c>
      <c r="BO3">
        <v>2.21335970909226E-4</v>
      </c>
      <c r="BP3">
        <v>0</v>
      </c>
      <c r="BQ3">
        <v>5.1451732138165797E-4</v>
      </c>
      <c r="BR3">
        <v>7.8348556607801801E-4</v>
      </c>
      <c r="BS3">
        <v>2.1860445081714601E-5</v>
      </c>
      <c r="BT3">
        <v>0</v>
      </c>
      <c r="BU3">
        <v>5.5851520393054797E-5</v>
      </c>
      <c r="BV3">
        <v>0</v>
      </c>
      <c r="BW3">
        <v>2.66732539620295E-4</v>
      </c>
      <c r="BX3">
        <v>4.2776081643658301E-4</v>
      </c>
      <c r="BY3">
        <v>0</v>
      </c>
      <c r="BZ3">
        <v>4.9066716911030602E-4</v>
      </c>
      <c r="CA3">
        <v>3.27034823572372E-4</v>
      </c>
      <c r="CB3">
        <v>2.4291928826351299E-4</v>
      </c>
      <c r="CC3">
        <v>3.6541216379647803E-4</v>
      </c>
      <c r="CD3">
        <v>2.3594675020638899E-4</v>
      </c>
      <c r="CE3">
        <v>2.4704154798885198E-4</v>
      </c>
      <c r="CF3">
        <v>8.9520397101167505E-4</v>
      </c>
      <c r="CG3">
        <v>8.9660880609711995E-4</v>
      </c>
      <c r="CH3">
        <v>2.2740342423696001E-4</v>
      </c>
      <c r="CI3">
        <v>2.1783517052907601E-4</v>
      </c>
      <c r="CJ3">
        <f>MAX(E3:CI3)</f>
        <v>8.9660880609711995E-4</v>
      </c>
    </row>
    <row r="4" spans="1:88" x14ac:dyDescent="0.2">
      <c r="A4" t="s">
        <v>90</v>
      </c>
      <c r="B4" t="s">
        <v>90</v>
      </c>
      <c r="C4" t="s">
        <v>88</v>
      </c>
      <c r="D4" t="s">
        <v>89</v>
      </c>
      <c r="E4">
        <v>8.6073408235915603E-6</v>
      </c>
      <c r="F4">
        <v>0</v>
      </c>
      <c r="G4">
        <v>3.27997097057631E-5</v>
      </c>
      <c r="H4">
        <v>1.6669439608256301E-5</v>
      </c>
      <c r="I4">
        <v>0</v>
      </c>
      <c r="J4">
        <v>0</v>
      </c>
      <c r="K4">
        <v>2.22546106195605E-5</v>
      </c>
      <c r="L4">
        <v>0</v>
      </c>
      <c r="M4">
        <v>9.3068775507418195E-5</v>
      </c>
      <c r="N4">
        <v>5.2007143411187099E-5</v>
      </c>
      <c r="O4">
        <v>0</v>
      </c>
      <c r="P4">
        <v>2.0481558487612499E-5</v>
      </c>
      <c r="Q4">
        <v>0</v>
      </c>
      <c r="R4">
        <v>1.9370239923186799E-5</v>
      </c>
      <c r="S4">
        <v>1.6475287426587099E-5</v>
      </c>
      <c r="T4">
        <v>0</v>
      </c>
      <c r="U4">
        <v>0</v>
      </c>
      <c r="V4">
        <v>1.04906162332732E-5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1.69552422815659E-5</v>
      </c>
      <c r="AD4">
        <v>0</v>
      </c>
      <c r="AE4">
        <v>0</v>
      </c>
      <c r="AF4">
        <v>3.3835063820748298E-5</v>
      </c>
      <c r="AG4">
        <v>2.6281369972224499E-5</v>
      </c>
      <c r="AH4">
        <v>1.6166611429044701E-5</v>
      </c>
      <c r="AI4">
        <v>1.2373996817879399E-5</v>
      </c>
      <c r="AJ4">
        <v>1.04208465300588E-5</v>
      </c>
      <c r="AK4">
        <v>0</v>
      </c>
      <c r="AL4">
        <v>4.3754326173917501E-5</v>
      </c>
      <c r="AM4">
        <v>0</v>
      </c>
      <c r="AN4">
        <v>0</v>
      </c>
      <c r="AO4">
        <v>0</v>
      </c>
      <c r="AP4">
        <v>2.53378056133689E-5</v>
      </c>
      <c r="AQ4">
        <v>0</v>
      </c>
      <c r="AR4">
        <v>2.2347039672824699E-5</v>
      </c>
      <c r="AS4">
        <v>4.6439442773306897E-5</v>
      </c>
      <c r="AT4">
        <v>0</v>
      </c>
      <c r="AU4">
        <v>0</v>
      </c>
      <c r="AV4">
        <v>7.4950752933074201E-6</v>
      </c>
      <c r="AW4">
        <v>1.08443368674372E-4</v>
      </c>
      <c r="AX4">
        <v>0</v>
      </c>
      <c r="AY4">
        <v>0</v>
      </c>
      <c r="AZ4">
        <v>3.8921717845302198E-5</v>
      </c>
      <c r="BA4">
        <v>1.3864684775502799E-4</v>
      </c>
      <c r="BB4">
        <v>1.10934594441185E-4</v>
      </c>
      <c r="BC4">
        <v>6.8563029672040203E-5</v>
      </c>
      <c r="BD4">
        <v>1.8824133752352399E-5</v>
      </c>
      <c r="BE4">
        <v>0</v>
      </c>
      <c r="BF4">
        <v>1.18238251832662E-5</v>
      </c>
      <c r="BG4">
        <v>0</v>
      </c>
      <c r="BH4">
        <v>0</v>
      </c>
      <c r="BI4">
        <v>3.6950983311543901E-5</v>
      </c>
      <c r="BJ4">
        <v>1.1685034527384599E-4</v>
      </c>
      <c r="BK4">
        <v>0</v>
      </c>
      <c r="BL4">
        <v>3.0721894964022697E-5</v>
      </c>
      <c r="BM4">
        <v>3.8797433731621197E-5</v>
      </c>
      <c r="BN4">
        <v>1.09227501601748E-4</v>
      </c>
      <c r="BO4">
        <v>0</v>
      </c>
      <c r="BP4">
        <v>1.8688954211756899E-4</v>
      </c>
      <c r="BQ4">
        <v>1.52592082466678E-4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7.1022016681202899E-5</v>
      </c>
      <c r="BY4">
        <v>0</v>
      </c>
      <c r="BZ4">
        <v>5.0997513312486497E-5</v>
      </c>
      <c r="CA4">
        <v>1.5412638775083502E-5</v>
      </c>
      <c r="CB4">
        <v>1.1713724352788599E-4</v>
      </c>
      <c r="CC4">
        <v>0</v>
      </c>
      <c r="CD4">
        <v>1.31547924383101E-5</v>
      </c>
      <c r="CE4">
        <v>2.6058475225618999E-5</v>
      </c>
      <c r="CF4">
        <v>1.41883861602857E-4</v>
      </c>
      <c r="CG4">
        <v>1.6381625752235401E-4</v>
      </c>
      <c r="CH4">
        <v>0</v>
      </c>
      <c r="CI4">
        <v>0</v>
      </c>
      <c r="CJ4">
        <f>MAX(E4:CI4)</f>
        <v>1.8688954211756899E-4</v>
      </c>
    </row>
    <row r="5" spans="1:88" x14ac:dyDescent="0.2">
      <c r="A5" t="s">
        <v>91</v>
      </c>
      <c r="B5" t="s">
        <v>91</v>
      </c>
      <c r="C5" t="s">
        <v>88</v>
      </c>
      <c r="D5" t="s">
        <v>89</v>
      </c>
      <c r="E5">
        <v>0</v>
      </c>
      <c r="F5">
        <v>0</v>
      </c>
      <c r="G5">
        <v>1.6164378083413501E-5</v>
      </c>
      <c r="H5">
        <v>1.39205373530919E-4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2.1870262714947801E-5</v>
      </c>
      <c r="R5">
        <v>0</v>
      </c>
      <c r="S5">
        <v>3.3538605412200003E-5</v>
      </c>
      <c r="T5">
        <v>0</v>
      </c>
      <c r="U5">
        <v>0</v>
      </c>
      <c r="V5">
        <v>1.39652591753571E-5</v>
      </c>
      <c r="W5">
        <v>0</v>
      </c>
      <c r="X5">
        <v>0</v>
      </c>
      <c r="Y5">
        <v>0</v>
      </c>
      <c r="Z5">
        <v>0</v>
      </c>
      <c r="AA5">
        <v>6.4695637993384796E-5</v>
      </c>
      <c r="AB5">
        <v>4.7822689857676501E-5</v>
      </c>
      <c r="AC5">
        <v>0</v>
      </c>
      <c r="AD5">
        <v>0</v>
      </c>
      <c r="AE5">
        <v>0</v>
      </c>
      <c r="AF5">
        <v>8.0047541873333802E-6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f>MAX(E5:CI5)</f>
        <v>1.39205373530919E-4</v>
      </c>
    </row>
    <row r="6" spans="1:88" x14ac:dyDescent="0.2">
      <c r="A6" t="s">
        <v>92</v>
      </c>
      <c r="B6" t="s">
        <v>93</v>
      </c>
      <c r="C6" t="s">
        <v>88</v>
      </c>
      <c r="D6" t="s">
        <v>89</v>
      </c>
      <c r="E6">
        <v>0</v>
      </c>
      <c r="F6">
        <v>1.27127059002188E-3</v>
      </c>
      <c r="G6">
        <v>2.8487018656382802E-3</v>
      </c>
      <c r="H6">
        <v>1.2482540965285799E-3</v>
      </c>
      <c r="I6">
        <v>9.5788417845853603E-4</v>
      </c>
      <c r="J6">
        <v>0</v>
      </c>
      <c r="K6">
        <v>2.78624947720557E-3</v>
      </c>
      <c r="L6">
        <v>0</v>
      </c>
      <c r="M6">
        <v>0</v>
      </c>
      <c r="N6">
        <v>0</v>
      </c>
      <c r="O6">
        <v>7.6526702467315396E-4</v>
      </c>
      <c r="P6">
        <v>1.4932172556519599E-3</v>
      </c>
      <c r="Q6">
        <v>5.2319068125069798E-4</v>
      </c>
      <c r="R6">
        <v>1.3900998612840301E-3</v>
      </c>
      <c r="S6">
        <v>1.2481678731684101E-3</v>
      </c>
      <c r="T6">
        <v>2.1558324265669002E-3</v>
      </c>
      <c r="U6">
        <v>2.3686396777834501E-3</v>
      </c>
      <c r="V6">
        <v>0</v>
      </c>
      <c r="W6">
        <v>0</v>
      </c>
      <c r="X6">
        <v>0</v>
      </c>
      <c r="Y6">
        <v>0</v>
      </c>
      <c r="Z6">
        <v>0</v>
      </c>
      <c r="AA6">
        <v>2.1708809119085201E-3</v>
      </c>
      <c r="AB6">
        <v>1.0014032579679999E-3</v>
      </c>
      <c r="AC6">
        <v>2.7596054883016002E-3</v>
      </c>
      <c r="AD6">
        <v>3.3079428666504401E-3</v>
      </c>
      <c r="AE6">
        <v>2.1213972425098999E-3</v>
      </c>
      <c r="AF6">
        <v>6.01170968982282E-3</v>
      </c>
      <c r="AG6">
        <v>3.0338981699949302E-3</v>
      </c>
      <c r="AH6">
        <v>2.8810977945074698E-3</v>
      </c>
      <c r="AI6">
        <v>2.2302523209623802E-3</v>
      </c>
      <c r="AJ6">
        <v>2.6194251921679099E-3</v>
      </c>
      <c r="AK6">
        <v>1.91711427060181E-3</v>
      </c>
      <c r="AL6">
        <v>3.9042983750471002E-3</v>
      </c>
      <c r="AM6">
        <v>4.5260776448155897E-3</v>
      </c>
      <c r="AN6">
        <v>4.0538903716683897E-3</v>
      </c>
      <c r="AO6">
        <v>9.0051924797829698E-4</v>
      </c>
      <c r="AP6">
        <v>1.49740059030656E-3</v>
      </c>
      <c r="AQ6">
        <v>0</v>
      </c>
      <c r="AR6">
        <v>0</v>
      </c>
      <c r="AS6">
        <v>4.5931010482058799E-3</v>
      </c>
      <c r="AT6">
        <v>1.03514931721281E-3</v>
      </c>
      <c r="AU6">
        <v>0</v>
      </c>
      <c r="AV6">
        <v>0</v>
      </c>
      <c r="AW6">
        <v>4.45836889410277E-3</v>
      </c>
      <c r="AX6">
        <v>0</v>
      </c>
      <c r="AY6">
        <v>4.4783393548849396E-3</v>
      </c>
      <c r="AZ6">
        <v>3.86581440478781E-3</v>
      </c>
      <c r="BA6">
        <v>7.0978529893111096E-3</v>
      </c>
      <c r="BB6">
        <v>5.39566527521674E-3</v>
      </c>
      <c r="BC6">
        <v>2.8692209946994799E-3</v>
      </c>
      <c r="BD6">
        <v>2.5599471534583202E-3</v>
      </c>
      <c r="BE6">
        <v>2.1815843025162901E-3</v>
      </c>
      <c r="BF6">
        <v>2.3816174296781701E-3</v>
      </c>
      <c r="BG6">
        <v>0</v>
      </c>
      <c r="BH6">
        <v>2.7624663721239999E-3</v>
      </c>
      <c r="BI6">
        <v>0</v>
      </c>
      <c r="BJ6">
        <v>0</v>
      </c>
      <c r="BK6">
        <v>2.7989426505455098E-3</v>
      </c>
      <c r="BL6">
        <v>3.5254535747088001E-3</v>
      </c>
      <c r="BM6">
        <v>1.71915090417707E-3</v>
      </c>
      <c r="BN6">
        <v>4.14292432011917E-3</v>
      </c>
      <c r="BO6">
        <v>5.3009047424401896E-3</v>
      </c>
      <c r="BP6">
        <v>4.0095256858378404E-3</v>
      </c>
      <c r="BQ6">
        <v>0</v>
      </c>
      <c r="BR6">
        <v>0</v>
      </c>
      <c r="BS6">
        <v>3.8132826723498301E-4</v>
      </c>
      <c r="BT6">
        <v>1.3639894147877501E-3</v>
      </c>
      <c r="BU6">
        <v>7.65156020900692E-4</v>
      </c>
      <c r="BV6">
        <v>0</v>
      </c>
      <c r="BW6">
        <v>0</v>
      </c>
      <c r="BX6">
        <v>2.2971269658335599E-3</v>
      </c>
      <c r="BY6">
        <v>1.0411732461331801E-3</v>
      </c>
      <c r="BZ6">
        <v>2.7075469736209498E-3</v>
      </c>
      <c r="CA6">
        <v>9.7979450620652394E-4</v>
      </c>
      <c r="CB6">
        <v>4.8814404994041204E-3</v>
      </c>
      <c r="CC6">
        <v>3.9057550233451799E-3</v>
      </c>
      <c r="CD6">
        <v>2.1252547719714599E-3</v>
      </c>
      <c r="CE6">
        <v>2.6770470245715801E-3</v>
      </c>
      <c r="CF6">
        <v>7.8856591285125805E-3</v>
      </c>
      <c r="CG6">
        <v>8.3105927349874306E-3</v>
      </c>
      <c r="CH6">
        <v>2.7603871688439401E-3</v>
      </c>
      <c r="CI6">
        <v>0</v>
      </c>
      <c r="CJ6">
        <f>MAX(E6:CI6)</f>
        <v>8.3105927349874306E-3</v>
      </c>
    </row>
    <row r="7" spans="1:88" x14ac:dyDescent="0.2">
      <c r="A7" t="s">
        <v>94</v>
      </c>
      <c r="B7" t="s">
        <v>94</v>
      </c>
      <c r="C7" t="s">
        <v>88</v>
      </c>
      <c r="D7" t="s">
        <v>89</v>
      </c>
      <c r="E7">
        <v>6.0376092173228095E-4</v>
      </c>
      <c r="F7">
        <v>0</v>
      </c>
      <c r="G7">
        <v>0</v>
      </c>
      <c r="H7">
        <v>0</v>
      </c>
      <c r="I7">
        <v>8.6245808940971797E-5</v>
      </c>
      <c r="J7">
        <v>0</v>
      </c>
      <c r="K7">
        <v>4.28222024150844E-4</v>
      </c>
      <c r="L7">
        <v>6.1846481887632801E-5</v>
      </c>
      <c r="M7">
        <v>1.14699889629608E-4</v>
      </c>
      <c r="N7">
        <v>9.0713307071114396E-5</v>
      </c>
      <c r="O7">
        <v>7.6437592511135194E-5</v>
      </c>
      <c r="P7">
        <v>0</v>
      </c>
      <c r="Q7">
        <v>0</v>
      </c>
      <c r="R7">
        <v>0</v>
      </c>
      <c r="S7">
        <v>1.85851897718604E-4</v>
      </c>
      <c r="T7">
        <v>0</v>
      </c>
      <c r="U7">
        <v>0</v>
      </c>
      <c r="V7">
        <v>1.6425136975699501E-4</v>
      </c>
      <c r="W7">
        <v>1.00162002815045E-4</v>
      </c>
      <c r="X7">
        <v>1.5236387172318301E-5</v>
      </c>
      <c r="Y7">
        <v>0</v>
      </c>
      <c r="Z7">
        <v>2.6455440670010698E-4</v>
      </c>
      <c r="AA7">
        <v>0</v>
      </c>
      <c r="AB7">
        <v>0</v>
      </c>
      <c r="AC7">
        <v>4.1849859085528701E-4</v>
      </c>
      <c r="AD7">
        <v>0</v>
      </c>
      <c r="AE7">
        <v>0</v>
      </c>
      <c r="AF7">
        <v>2.8848683562383398E-4</v>
      </c>
      <c r="AG7">
        <v>2.2515106210451301E-4</v>
      </c>
      <c r="AH7">
        <v>0</v>
      </c>
      <c r="AI7">
        <v>0</v>
      </c>
      <c r="AJ7">
        <v>0</v>
      </c>
      <c r="AK7">
        <v>0</v>
      </c>
      <c r="AL7">
        <v>2.4478567553455399E-4</v>
      </c>
      <c r="AM7">
        <v>2.7212221666635502E-4</v>
      </c>
      <c r="AN7">
        <v>2.6216396696364998E-4</v>
      </c>
      <c r="AO7">
        <v>2.0263385186133201E-4</v>
      </c>
      <c r="AP7">
        <v>1.64304705003083E-4</v>
      </c>
      <c r="AQ7">
        <v>1.6967349277365899E-3</v>
      </c>
      <c r="AR7">
        <v>1.49627699918462E-4</v>
      </c>
      <c r="AS7">
        <v>3.6551819464461901E-4</v>
      </c>
      <c r="AT7">
        <v>3.8351115448930302E-5</v>
      </c>
      <c r="AU7">
        <v>5.6943348258745995E-4</v>
      </c>
      <c r="AV7">
        <v>1.90142412554387E-4</v>
      </c>
      <c r="AW7">
        <v>4.1850148175112201E-4</v>
      </c>
      <c r="AX7">
        <v>4.3515802799885101E-4</v>
      </c>
      <c r="AY7">
        <v>4.1560905395378003E-4</v>
      </c>
      <c r="AZ7">
        <v>8.0234841680301401E-4</v>
      </c>
      <c r="BA7">
        <v>1.0239270115768499E-3</v>
      </c>
      <c r="BB7">
        <v>5.8544755958320704E-4</v>
      </c>
      <c r="BC7">
        <v>4.0594481623770198E-4</v>
      </c>
      <c r="BD7">
        <v>0</v>
      </c>
      <c r="BE7">
        <v>3.6773164117667002E-4</v>
      </c>
      <c r="BF7">
        <v>3.0306375507300099E-4</v>
      </c>
      <c r="BG7">
        <v>0</v>
      </c>
      <c r="BH7">
        <v>7.8610941912075503E-4</v>
      </c>
      <c r="BI7">
        <v>0</v>
      </c>
      <c r="BJ7">
        <v>3.2385603912653803E-4</v>
      </c>
      <c r="BK7">
        <v>2.8197720407165198E-4</v>
      </c>
      <c r="BL7">
        <v>3.3385970092473599E-4</v>
      </c>
      <c r="BM7">
        <v>2.7900115425759299E-4</v>
      </c>
      <c r="BN7">
        <v>3.4479820798040899E-4</v>
      </c>
      <c r="BO7">
        <v>6.05410571209606E-4</v>
      </c>
      <c r="BP7">
        <v>0</v>
      </c>
      <c r="BQ7">
        <v>4.3154491144531599E-4</v>
      </c>
      <c r="BR7">
        <v>6.2145687949832198E-4</v>
      </c>
      <c r="BS7">
        <v>0</v>
      </c>
      <c r="BT7">
        <v>0</v>
      </c>
      <c r="BU7">
        <v>6.1744886977760903E-5</v>
      </c>
      <c r="BV7">
        <v>7.0210812686536102E-5</v>
      </c>
      <c r="BW7">
        <v>3.7710561588531099E-4</v>
      </c>
      <c r="BX7">
        <v>4.68187700068293E-4</v>
      </c>
      <c r="BY7">
        <v>0</v>
      </c>
      <c r="BZ7">
        <v>0</v>
      </c>
      <c r="CA7">
        <v>2.7873724293280201E-4</v>
      </c>
      <c r="CB7">
        <v>3.8032335893717199E-4</v>
      </c>
      <c r="CC7">
        <v>4.4097706234673601E-4</v>
      </c>
      <c r="CD7">
        <v>1.7844689681819999E-4</v>
      </c>
      <c r="CE7">
        <v>3.6356410634366898E-4</v>
      </c>
      <c r="CF7">
        <v>7.6122843045022199E-4</v>
      </c>
      <c r="CG7">
        <v>9.3997650843688301E-4</v>
      </c>
      <c r="CH7">
        <v>5.4213444319234805E-4</v>
      </c>
      <c r="CI7">
        <v>0</v>
      </c>
      <c r="CJ7">
        <f>MAX(E7:CI7)</f>
        <v>1.6967349277365899E-3</v>
      </c>
    </row>
    <row r="8" spans="1:88" x14ac:dyDescent="0.2">
      <c r="A8" t="s">
        <v>95</v>
      </c>
      <c r="B8" t="s">
        <v>95</v>
      </c>
      <c r="C8" t="s">
        <v>88</v>
      </c>
      <c r="D8" t="s">
        <v>89</v>
      </c>
      <c r="E8">
        <v>4.1848220948942097E-2</v>
      </c>
      <c r="F8">
        <v>3.5972779861055001E-2</v>
      </c>
      <c r="G8">
        <v>5.7162208539530503E-2</v>
      </c>
      <c r="H8">
        <v>3.9999448182108203E-2</v>
      </c>
      <c r="I8">
        <v>3.10929551208231E-2</v>
      </c>
      <c r="J8">
        <v>4.0606354335171201E-2</v>
      </c>
      <c r="K8">
        <v>6.8300203867852696E-2</v>
      </c>
      <c r="L8">
        <v>2.8161578887169102E-2</v>
      </c>
      <c r="M8">
        <v>1.8128630616286001E-2</v>
      </c>
      <c r="N8">
        <v>1.3559166696940199E-2</v>
      </c>
      <c r="O8">
        <v>2.40751499072701E-2</v>
      </c>
      <c r="P8">
        <v>3.5599508337386801E-2</v>
      </c>
      <c r="Q8">
        <v>2.0911731785590401E-2</v>
      </c>
      <c r="R8">
        <v>3.8226276778565903E-2</v>
      </c>
      <c r="S8">
        <v>3.71085512972682E-2</v>
      </c>
      <c r="T8">
        <v>4.2676716706926202E-2</v>
      </c>
      <c r="U8">
        <v>5.79994666623799E-2</v>
      </c>
      <c r="V8">
        <v>4.3128067645181602E-2</v>
      </c>
      <c r="W8">
        <v>2.47084783169861E-2</v>
      </c>
      <c r="X8">
        <v>9.7582738115373196E-3</v>
      </c>
      <c r="Y8">
        <v>2.6103695815092899E-2</v>
      </c>
      <c r="Z8">
        <v>3.099024431064E-2</v>
      </c>
      <c r="AA8">
        <v>5.4793746984802598E-2</v>
      </c>
      <c r="AB8">
        <v>3.8910158508959798E-2</v>
      </c>
      <c r="AC8">
        <v>6.0638716458893897E-2</v>
      </c>
      <c r="AD8">
        <v>5.5869656342782202E-2</v>
      </c>
      <c r="AE8">
        <v>5.0687048143968398E-2</v>
      </c>
      <c r="AF8">
        <v>8.3241902981792001E-2</v>
      </c>
      <c r="AG8">
        <v>5.5915601359833401E-2</v>
      </c>
      <c r="AH8">
        <v>5.9086055762167002E-2</v>
      </c>
      <c r="AI8">
        <v>4.8080724148975199E-2</v>
      </c>
      <c r="AJ8">
        <v>5.34394524951744E-2</v>
      </c>
      <c r="AK8">
        <v>5.3398492921011197E-2</v>
      </c>
      <c r="AL8">
        <v>5.71397058047333E-2</v>
      </c>
      <c r="AM8">
        <v>3.6130169582445297E-2</v>
      </c>
      <c r="AN8">
        <v>4.2792730633796301E-2</v>
      </c>
      <c r="AO8">
        <v>2.3351834282627E-2</v>
      </c>
      <c r="AP8">
        <v>2.92660425713171E-2</v>
      </c>
      <c r="AQ8">
        <v>3.5417263290458599E-2</v>
      </c>
      <c r="AR8">
        <v>4.2692638893395501E-2</v>
      </c>
      <c r="AS8">
        <v>7.8888009846461798E-2</v>
      </c>
      <c r="AT8">
        <v>2.31962082988455E-2</v>
      </c>
      <c r="AU8">
        <v>4.80544930467399E-2</v>
      </c>
      <c r="AV8">
        <v>2.6248530811702801E-2</v>
      </c>
      <c r="AW8">
        <v>5.6771451740491398E-2</v>
      </c>
      <c r="AX8">
        <v>4.9342823828667601E-2</v>
      </c>
      <c r="AY8">
        <v>6.5369475445078207E-2</v>
      </c>
      <c r="AZ8">
        <v>6.5035277847110801E-2</v>
      </c>
      <c r="BA8">
        <v>7.4332373424614004E-2</v>
      </c>
      <c r="BB8">
        <v>5.8239950877586502E-2</v>
      </c>
      <c r="BC8">
        <v>5.1408152911384501E-2</v>
      </c>
      <c r="BD8">
        <v>4.82007726544798E-2</v>
      </c>
      <c r="BE8">
        <v>4.2916767166624799E-2</v>
      </c>
      <c r="BF8">
        <v>5.7563607066907198E-2</v>
      </c>
      <c r="BG8">
        <v>4.0151705752056399E-2</v>
      </c>
      <c r="BH8">
        <v>6.6883655303724698E-2</v>
      </c>
      <c r="BI8">
        <v>5.8602750505527101E-2</v>
      </c>
      <c r="BJ8">
        <v>6.1134167142636801E-2</v>
      </c>
      <c r="BK8">
        <v>4.5466549873599799E-2</v>
      </c>
      <c r="BL8">
        <v>4.9347255053601602E-2</v>
      </c>
      <c r="BM8">
        <v>5.0373601245858303E-2</v>
      </c>
      <c r="BN8">
        <v>7.1602304470594694E-2</v>
      </c>
      <c r="BO8">
        <v>7.0942093443158799E-2</v>
      </c>
      <c r="BP8">
        <v>8.4622918630771302E-2</v>
      </c>
      <c r="BQ8">
        <v>7.4972846491001902E-2</v>
      </c>
      <c r="BR8">
        <v>9.3811050664752094E-2</v>
      </c>
      <c r="BS8">
        <v>3.4133199571343802E-2</v>
      </c>
      <c r="BT8">
        <v>4.11305957472917E-2</v>
      </c>
      <c r="BU8">
        <v>3.2818974012086E-2</v>
      </c>
      <c r="BV8">
        <v>1.7553874941437401E-2</v>
      </c>
      <c r="BW8">
        <v>3.5230110065408299E-2</v>
      </c>
      <c r="BX8">
        <v>4.5909334785941301E-2</v>
      </c>
      <c r="BY8">
        <v>4.0429744800417E-2</v>
      </c>
      <c r="BZ8">
        <v>6.3679405463373001E-2</v>
      </c>
      <c r="CA8">
        <v>4.2401087940440202E-2</v>
      </c>
      <c r="CB8">
        <v>7.0721424527508098E-2</v>
      </c>
      <c r="CC8">
        <v>0.10118706521361</v>
      </c>
      <c r="CD8">
        <v>5.4601805045451299E-2</v>
      </c>
      <c r="CE8">
        <v>7.9998712958873494E-2</v>
      </c>
      <c r="CF8">
        <v>0.111877305990794</v>
      </c>
      <c r="CG8">
        <v>7.9866747766957097E-2</v>
      </c>
      <c r="CH8">
        <v>6.0984855623660898E-2</v>
      </c>
      <c r="CI8">
        <v>5.5309788784435002E-2</v>
      </c>
      <c r="CJ8">
        <f>MAX(E8:CI8)</f>
        <v>0.111877305990794</v>
      </c>
    </row>
    <row r="9" spans="1:88" x14ac:dyDescent="0.2">
      <c r="A9" t="s">
        <v>96</v>
      </c>
      <c r="B9" t="s">
        <v>96</v>
      </c>
      <c r="C9" t="s">
        <v>88</v>
      </c>
      <c r="D9" t="s">
        <v>89</v>
      </c>
      <c r="E9">
        <v>1.8470004446796001E-4</v>
      </c>
      <c r="F9">
        <v>4.11458463520981E-4</v>
      </c>
      <c r="G9">
        <v>4.0208511868017002E-4</v>
      </c>
      <c r="H9">
        <v>1.45290761499142E-4</v>
      </c>
      <c r="I9">
        <v>1.33258831262912E-4</v>
      </c>
      <c r="J9">
        <v>1.92924773923636E-4</v>
      </c>
      <c r="K9">
        <v>1.0240260388862501E-3</v>
      </c>
      <c r="L9">
        <v>1.8190934076916599E-4</v>
      </c>
      <c r="M9">
        <v>0</v>
      </c>
      <c r="N9">
        <v>4.1390245275020999E-5</v>
      </c>
      <c r="O9">
        <v>2.34920545158855E-4</v>
      </c>
      <c r="P9">
        <v>6.5217327777344198E-4</v>
      </c>
      <c r="Q9">
        <v>1.29385616648345E-4</v>
      </c>
      <c r="R9">
        <v>1.85406945863092E-4</v>
      </c>
      <c r="S9">
        <v>4.3440418445578501E-4</v>
      </c>
      <c r="T9">
        <v>2.6282580301907599E-4</v>
      </c>
      <c r="U9">
        <v>6.7977157440781799E-4</v>
      </c>
      <c r="V9">
        <v>0</v>
      </c>
      <c r="W9">
        <v>0</v>
      </c>
      <c r="X9">
        <v>0</v>
      </c>
      <c r="Y9">
        <v>3.1732771172224598E-4</v>
      </c>
      <c r="Z9">
        <v>1.3374390518410001E-4</v>
      </c>
      <c r="AA9">
        <v>4.4803299663508897E-4</v>
      </c>
      <c r="AB9">
        <v>4.4834362613177303E-5</v>
      </c>
      <c r="AC9">
        <v>5.5161618455749602E-4</v>
      </c>
      <c r="AD9">
        <v>6.6345122452680797E-4</v>
      </c>
      <c r="AE9">
        <v>6.9923635461274E-4</v>
      </c>
      <c r="AF9">
        <v>4.6546925456156701E-4</v>
      </c>
      <c r="AG9">
        <v>0</v>
      </c>
      <c r="AH9">
        <v>4.6237676273228301E-4</v>
      </c>
      <c r="AI9">
        <v>1.6180763118803801E-4</v>
      </c>
      <c r="AJ9">
        <v>0</v>
      </c>
      <c r="AK9">
        <v>4.5611777803241901E-4</v>
      </c>
      <c r="AL9">
        <v>0</v>
      </c>
      <c r="AM9">
        <v>0</v>
      </c>
      <c r="AN9">
        <v>5.5819764513371898E-4</v>
      </c>
      <c r="AO9">
        <v>1.21818711058714E-4</v>
      </c>
      <c r="AP9">
        <v>0</v>
      </c>
      <c r="AQ9">
        <v>0</v>
      </c>
      <c r="AR9">
        <v>0</v>
      </c>
      <c r="AS9">
        <v>7.0750579270864003E-4</v>
      </c>
      <c r="AT9">
        <v>1.2540388756893201E-4</v>
      </c>
      <c r="AU9">
        <v>8.2186408038890295E-4</v>
      </c>
      <c r="AV9">
        <v>0</v>
      </c>
      <c r="AW9">
        <v>3.3554285851678401E-4</v>
      </c>
      <c r="AX9">
        <v>0</v>
      </c>
      <c r="AY9">
        <v>0</v>
      </c>
      <c r="AZ9">
        <v>4.4916095856382401E-4</v>
      </c>
      <c r="BA9">
        <v>0</v>
      </c>
      <c r="BB9">
        <v>3.3041138240512001E-4</v>
      </c>
      <c r="BC9">
        <v>4.7417319535067502E-4</v>
      </c>
      <c r="BD9">
        <v>6.2981064968869495E-4</v>
      </c>
      <c r="BE9">
        <v>4.1344143560952899E-4</v>
      </c>
      <c r="BF9">
        <v>0</v>
      </c>
      <c r="BG9">
        <v>0</v>
      </c>
      <c r="BH9">
        <v>6.7291312625648804E-4</v>
      </c>
      <c r="BI9">
        <v>9.2928515605827803E-4</v>
      </c>
      <c r="BJ9">
        <v>0</v>
      </c>
      <c r="BK9">
        <v>3.9607551903554801E-4</v>
      </c>
      <c r="BL9">
        <v>4.6485552810940898E-4</v>
      </c>
      <c r="BM9">
        <v>3.2064169820644002E-4</v>
      </c>
      <c r="BN9">
        <v>3.30539221584194E-4</v>
      </c>
      <c r="BO9">
        <v>0</v>
      </c>
      <c r="BP9">
        <v>2.90524658926004E-4</v>
      </c>
      <c r="BQ9">
        <v>4.4600117205047501E-4</v>
      </c>
      <c r="BR9">
        <v>9.1561732151518402E-4</v>
      </c>
      <c r="BS9">
        <v>5.3180938844293001E-5</v>
      </c>
      <c r="BT9">
        <v>2.2983385418732499E-4</v>
      </c>
      <c r="BU9">
        <v>0</v>
      </c>
      <c r="BV9">
        <v>8.2477787061942899E-5</v>
      </c>
      <c r="BW9">
        <v>4.1588762705936199E-4</v>
      </c>
      <c r="BX9">
        <v>6.9000462220475097E-4</v>
      </c>
      <c r="BY9">
        <v>0</v>
      </c>
      <c r="BZ9">
        <v>3.7438289651060201E-4</v>
      </c>
      <c r="CA9">
        <v>0</v>
      </c>
      <c r="CB9">
        <v>3.1867427027408498E-4</v>
      </c>
      <c r="CC9">
        <v>5.7581370851115296E-4</v>
      </c>
      <c r="CD9">
        <v>7.1670428331999895E-4</v>
      </c>
      <c r="CE9">
        <v>4.9940053124153502E-4</v>
      </c>
      <c r="CF9">
        <v>8.9245021807127895E-4</v>
      </c>
      <c r="CG9">
        <v>9.8233586411486406E-4</v>
      </c>
      <c r="CH9">
        <v>3.6448948159219501E-4</v>
      </c>
      <c r="CI9">
        <v>0</v>
      </c>
      <c r="CJ9">
        <f>MAX(E9:CI9)</f>
        <v>1.0240260388862501E-3</v>
      </c>
    </row>
    <row r="10" spans="1:88" x14ac:dyDescent="0.2">
      <c r="A10" t="s">
        <v>97</v>
      </c>
      <c r="B10" t="s">
        <v>97</v>
      </c>
      <c r="C10" t="s">
        <v>88</v>
      </c>
      <c r="D10" t="s">
        <v>89</v>
      </c>
      <c r="E10">
        <v>0</v>
      </c>
      <c r="F10">
        <v>0</v>
      </c>
      <c r="G10">
        <v>0</v>
      </c>
      <c r="H10">
        <v>0</v>
      </c>
      <c r="I10">
        <v>2.2907305090126299E-4</v>
      </c>
      <c r="J10">
        <v>1.08320086961157E-5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5.7113266547513099E-5</v>
      </c>
      <c r="U10">
        <v>3.07783972008509E-5</v>
      </c>
      <c r="V10">
        <v>0</v>
      </c>
      <c r="W10">
        <v>5.5542573703873502E-5</v>
      </c>
      <c r="X10">
        <v>1.2814067282473001E-5</v>
      </c>
      <c r="Y10">
        <v>0</v>
      </c>
      <c r="Z10">
        <v>0</v>
      </c>
      <c r="AA10">
        <v>0</v>
      </c>
      <c r="AB10">
        <v>7.1001250869522103E-4</v>
      </c>
      <c r="AC10">
        <v>0</v>
      </c>
      <c r="AD10">
        <v>0</v>
      </c>
      <c r="AE10">
        <v>7.11318329672875E-4</v>
      </c>
      <c r="AF10">
        <v>4.8688343611458899E-5</v>
      </c>
      <c r="AG10">
        <v>0</v>
      </c>
      <c r="AH10">
        <v>0</v>
      </c>
      <c r="AI10">
        <v>1.38458620402528E-5</v>
      </c>
      <c r="AJ10">
        <v>0</v>
      </c>
      <c r="AK10">
        <v>5.8356736939469499E-5</v>
      </c>
      <c r="AL10">
        <v>0</v>
      </c>
      <c r="AM10">
        <v>4.38208704440525E-5</v>
      </c>
      <c r="AN10">
        <v>2.1725711091942399E-5</v>
      </c>
      <c r="AO10">
        <v>1.3182172789689E-5</v>
      </c>
      <c r="AP10">
        <v>3.7702053034416701E-5</v>
      </c>
      <c r="AQ10">
        <v>0</v>
      </c>
      <c r="AR10">
        <v>0</v>
      </c>
      <c r="AS10">
        <v>0</v>
      </c>
      <c r="AT10">
        <v>6.3019361692636798E-4</v>
      </c>
      <c r="AU10">
        <v>1.62059688574303E-5</v>
      </c>
      <c r="AV10">
        <v>0</v>
      </c>
      <c r="AW10">
        <v>0</v>
      </c>
      <c r="AX10">
        <v>4.10122881461385E-5</v>
      </c>
      <c r="AY10">
        <v>0</v>
      </c>
      <c r="AZ10">
        <v>0</v>
      </c>
      <c r="BA10">
        <v>1.06366042255696E-4</v>
      </c>
      <c r="BB10">
        <v>0</v>
      </c>
      <c r="BC10">
        <v>1.46055528313797E-4</v>
      </c>
      <c r="BD10">
        <v>0</v>
      </c>
      <c r="BE10">
        <v>9.5046471767837304E-5</v>
      </c>
      <c r="BF10">
        <v>1.8777120788965899E-5</v>
      </c>
      <c r="BG10">
        <v>1.0677485737784601E-5</v>
      </c>
      <c r="BH10">
        <v>1.1708466023202401E-4</v>
      </c>
      <c r="BI10">
        <v>0</v>
      </c>
      <c r="BJ10">
        <v>0</v>
      </c>
      <c r="BK10">
        <v>0</v>
      </c>
      <c r="BL10">
        <v>5.7867004289124001E-5</v>
      </c>
      <c r="BM10">
        <v>2.3720563401140099E-5</v>
      </c>
      <c r="BN10">
        <v>7.7237462968463594E-5</v>
      </c>
      <c r="BO10">
        <v>0</v>
      </c>
      <c r="BP10">
        <v>0</v>
      </c>
      <c r="BQ10">
        <v>5.8899010672781499E-5</v>
      </c>
      <c r="BR10">
        <v>1.52760826703122E-4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1.5640225125271099E-5</v>
      </c>
      <c r="BY10">
        <v>1.93915265864267E-5</v>
      </c>
      <c r="BZ10">
        <v>2.6555287031843002E-5</v>
      </c>
      <c r="CA10">
        <v>0</v>
      </c>
      <c r="CB10">
        <v>0</v>
      </c>
      <c r="CC10">
        <v>0</v>
      </c>
      <c r="CD10">
        <v>4.0512495891771E-5</v>
      </c>
      <c r="CE10">
        <v>0</v>
      </c>
      <c r="CF10">
        <v>0</v>
      </c>
      <c r="CG10">
        <v>0</v>
      </c>
      <c r="CH10">
        <v>9.3063632478924296E-5</v>
      </c>
      <c r="CI10">
        <v>1.5973202593559999E-4</v>
      </c>
      <c r="CJ10">
        <f>MAX(E10:CI10)</f>
        <v>7.11318329672875E-4</v>
      </c>
    </row>
    <row r="11" spans="1:88" x14ac:dyDescent="0.2">
      <c r="A11" t="s">
        <v>98</v>
      </c>
      <c r="B11" t="s">
        <v>99</v>
      </c>
      <c r="C11" t="s">
        <v>88</v>
      </c>
      <c r="D11" t="s">
        <v>89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1.3075039212331099E-4</v>
      </c>
      <c r="R11">
        <v>0</v>
      </c>
      <c r="S11">
        <v>9.5960168082355796E-5</v>
      </c>
      <c r="T11">
        <v>5.0026140672569803E-5</v>
      </c>
      <c r="U11">
        <v>0</v>
      </c>
      <c r="V11">
        <v>3.80779009654459E-5</v>
      </c>
      <c r="W11">
        <v>1.8915899589422401E-5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1.00250604489021E-4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4.7084178773210697E-5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7.2571817540608799E-5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3.9516093103688102E-5</v>
      </c>
      <c r="BJ11">
        <v>7.1992126181194302E-5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f>MAX(E11:CI11)</f>
        <v>1.3075039212331099E-4</v>
      </c>
    </row>
    <row r="12" spans="1:88" x14ac:dyDescent="0.2">
      <c r="A12" t="s">
        <v>100</v>
      </c>
      <c r="B12" t="s">
        <v>100</v>
      </c>
      <c r="C12" t="s">
        <v>88</v>
      </c>
      <c r="D12" t="s">
        <v>89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1.9022561637962E-5</v>
      </c>
      <c r="O12">
        <v>0</v>
      </c>
      <c r="P12">
        <v>2.54822633691086E-5</v>
      </c>
      <c r="Q12">
        <v>0</v>
      </c>
      <c r="R12">
        <v>0</v>
      </c>
      <c r="S12">
        <v>0</v>
      </c>
      <c r="T12">
        <v>1.72153556828297E-5</v>
      </c>
      <c r="U12">
        <v>4.7766233795976397E-5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7.97862401785504E-5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1.9036188648350699E-4</v>
      </c>
      <c r="BI12">
        <v>0</v>
      </c>
      <c r="BJ12">
        <v>1.78633126718344E-4</v>
      </c>
      <c r="BK12">
        <v>0</v>
      </c>
      <c r="BL12">
        <v>0</v>
      </c>
      <c r="BM12">
        <v>0</v>
      </c>
      <c r="BN12">
        <v>0</v>
      </c>
      <c r="BO12">
        <v>2.57332713773203E-5</v>
      </c>
      <c r="BP12">
        <v>0</v>
      </c>
      <c r="BQ12">
        <v>0</v>
      </c>
      <c r="BR12">
        <v>0</v>
      </c>
      <c r="BS12">
        <v>2.4331618586290099E-5</v>
      </c>
      <c r="BT12">
        <v>0</v>
      </c>
      <c r="BU12">
        <v>1.6006043763447201E-5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8.2314055631572894E-6</v>
      </c>
      <c r="CG12">
        <v>0</v>
      </c>
      <c r="CH12">
        <v>0</v>
      </c>
      <c r="CI12">
        <v>0</v>
      </c>
      <c r="CJ12">
        <f>MAX(E12:CI12)</f>
        <v>1.9036188648350699E-4</v>
      </c>
    </row>
    <row r="13" spans="1:88" x14ac:dyDescent="0.2">
      <c r="A13" t="s">
        <v>101</v>
      </c>
      <c r="B13" t="s">
        <v>101</v>
      </c>
      <c r="C13" t="s">
        <v>88</v>
      </c>
      <c r="D13" t="s">
        <v>89</v>
      </c>
      <c r="E13">
        <v>0</v>
      </c>
      <c r="F13">
        <v>2.9429033543558301E-5</v>
      </c>
      <c r="G13">
        <v>1.09621565520731E-5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1.80031707273902E-4</v>
      </c>
      <c r="O13">
        <v>0</v>
      </c>
      <c r="P13">
        <v>7.6110399230251696E-5</v>
      </c>
      <c r="Q13">
        <v>0</v>
      </c>
      <c r="R13">
        <v>0</v>
      </c>
      <c r="S13">
        <v>0</v>
      </c>
      <c r="T13">
        <v>5.62107008207428E-5</v>
      </c>
      <c r="U13">
        <v>0</v>
      </c>
      <c r="V13">
        <v>4.5293512352743397E-5</v>
      </c>
      <c r="W13">
        <v>1.9880074153467E-5</v>
      </c>
      <c r="X13">
        <v>0</v>
      </c>
      <c r="Y13">
        <v>0</v>
      </c>
      <c r="Z13">
        <v>3.6675580789667699E-5</v>
      </c>
      <c r="AA13">
        <v>0</v>
      </c>
      <c r="AB13">
        <v>1.2457847205968E-4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3.31211951850407E-5</v>
      </c>
      <c r="AK13">
        <v>0</v>
      </c>
      <c r="AL13">
        <v>0</v>
      </c>
      <c r="AM13">
        <v>0</v>
      </c>
      <c r="AN13">
        <v>2.2116530569646201E-5</v>
      </c>
      <c r="AO13">
        <v>0</v>
      </c>
      <c r="AP13">
        <v>2.28104051960363E-5</v>
      </c>
      <c r="AQ13">
        <v>0</v>
      </c>
      <c r="AR13">
        <v>0</v>
      </c>
      <c r="AS13">
        <v>0</v>
      </c>
      <c r="AT13">
        <v>4.4021719276401702E-5</v>
      </c>
      <c r="AU13">
        <v>3.26220312939952E-4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1.1908745112891501E-5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1.08294649494256E-5</v>
      </c>
      <c r="BH13">
        <v>0</v>
      </c>
      <c r="BI13">
        <v>2.5782201601163499E-5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2.3674073957040599E-5</v>
      </c>
      <c r="BR13">
        <v>0</v>
      </c>
      <c r="BS13">
        <v>0</v>
      </c>
      <c r="BT13">
        <v>1.3247929246465199E-3</v>
      </c>
      <c r="BU13">
        <v>0</v>
      </c>
      <c r="BV13">
        <v>1.4617462891746899E-4</v>
      </c>
      <c r="BW13">
        <v>0</v>
      </c>
      <c r="BX13">
        <v>1.2775708674742399E-5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1.1182193418933201E-5</v>
      </c>
      <c r="CG13">
        <v>0</v>
      </c>
      <c r="CH13">
        <v>0</v>
      </c>
      <c r="CI13">
        <v>0</v>
      </c>
      <c r="CJ13">
        <f>MAX(E13:CI13)</f>
        <v>1.3247929246465199E-3</v>
      </c>
    </row>
    <row r="14" spans="1:88" x14ac:dyDescent="0.2">
      <c r="A14" t="s">
        <v>102</v>
      </c>
      <c r="B14" t="s">
        <v>102</v>
      </c>
      <c r="C14" t="s">
        <v>88</v>
      </c>
      <c r="D14" t="s">
        <v>89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1.9328537756343299E-5</v>
      </c>
      <c r="Z14">
        <v>0</v>
      </c>
      <c r="AA14">
        <v>1.12422179346127E-5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f>MAX(E14:CI14)</f>
        <v>1.9328537756343299E-5</v>
      </c>
    </row>
    <row r="15" spans="1:88" x14ac:dyDescent="0.2">
      <c r="A15" t="s">
        <v>103</v>
      </c>
      <c r="B15" t="s">
        <v>103</v>
      </c>
      <c r="C15" t="s">
        <v>88</v>
      </c>
      <c r="D15" t="s">
        <v>89</v>
      </c>
      <c r="E15">
        <v>8.4652736157811307E-5</v>
      </c>
      <c r="F15">
        <v>0</v>
      </c>
      <c r="G15">
        <v>1.0800602927415901E-4</v>
      </c>
      <c r="H15">
        <v>8.0190699163079296E-5</v>
      </c>
      <c r="I15">
        <v>3.72410570931391E-5</v>
      </c>
      <c r="J15">
        <v>6.6648902142388898E-5</v>
      </c>
      <c r="K15">
        <v>2.3288311419054401E-4</v>
      </c>
      <c r="L15">
        <v>0</v>
      </c>
      <c r="M15">
        <v>0</v>
      </c>
      <c r="N15">
        <v>0</v>
      </c>
      <c r="O15">
        <v>0</v>
      </c>
      <c r="P15">
        <v>8.8800620408070299E-5</v>
      </c>
      <c r="Q15">
        <v>2.83938314520068E-5</v>
      </c>
      <c r="R15">
        <v>1.4885759565621699E-4</v>
      </c>
      <c r="S15">
        <v>3.1490677189625297E-5</v>
      </c>
      <c r="T15">
        <v>1.63242410835527E-4</v>
      </c>
      <c r="U15">
        <v>1.56555381201076E-4</v>
      </c>
      <c r="V15">
        <v>2.00312476385191E-4</v>
      </c>
      <c r="W15">
        <v>3.8353764741634503E-5</v>
      </c>
      <c r="X15">
        <v>0</v>
      </c>
      <c r="Y15">
        <v>1.1236912523364901E-4</v>
      </c>
      <c r="Z15">
        <v>0</v>
      </c>
      <c r="AA15">
        <v>1.19878693187111E-4</v>
      </c>
      <c r="AB15">
        <v>3.1588063326623699E-5</v>
      </c>
      <c r="AC15">
        <v>2.2302112385747699E-4</v>
      </c>
      <c r="AD15">
        <v>6.5845788092333706E-5</v>
      </c>
      <c r="AE15">
        <v>7.7021682263179797E-5</v>
      </c>
      <c r="AF15">
        <v>0</v>
      </c>
      <c r="AG15">
        <v>1.28637028686734E-4</v>
      </c>
      <c r="AH15">
        <v>3.1862437750573699E-5</v>
      </c>
      <c r="AI15">
        <v>1.5590785625460899E-4</v>
      </c>
      <c r="AJ15">
        <v>0</v>
      </c>
      <c r="AK15">
        <v>0</v>
      </c>
      <c r="AL15">
        <v>7.9018903694353298E-5</v>
      </c>
      <c r="AM15">
        <v>0</v>
      </c>
      <c r="AN15">
        <v>1.9799581009521001E-4</v>
      </c>
      <c r="AO15">
        <v>5.6267808406002901E-5</v>
      </c>
      <c r="AP15">
        <v>2.81781190726489E-5</v>
      </c>
      <c r="AQ15">
        <v>0</v>
      </c>
      <c r="AR15">
        <v>0</v>
      </c>
      <c r="AS15">
        <v>2.6089574730448698E-4</v>
      </c>
      <c r="AT15">
        <v>0</v>
      </c>
      <c r="AU15">
        <v>3.1340000567737299E-4</v>
      </c>
      <c r="AV15">
        <v>0</v>
      </c>
      <c r="AW15">
        <v>1.5770265320369701E-4</v>
      </c>
      <c r="AX15">
        <v>0</v>
      </c>
      <c r="AY15">
        <v>2.6598552324970002E-4</v>
      </c>
      <c r="AZ15">
        <v>3.0036892483454301E-4</v>
      </c>
      <c r="BA15">
        <v>5.4072817578804805E-4</v>
      </c>
      <c r="BB15">
        <v>0</v>
      </c>
      <c r="BC15">
        <v>2.2449413532632799E-4</v>
      </c>
      <c r="BD15">
        <v>4.9061294156744497E-4</v>
      </c>
      <c r="BE15">
        <v>1.5359461865166501E-4</v>
      </c>
      <c r="BF15">
        <v>1.2406149205326E-4</v>
      </c>
      <c r="BG15">
        <v>0</v>
      </c>
      <c r="BH15">
        <v>2.9561400137050297E-4</v>
      </c>
      <c r="BI15">
        <v>2.8796519513405101E-4</v>
      </c>
      <c r="BJ15">
        <v>1.3003611922212801E-4</v>
      </c>
      <c r="BK15">
        <v>2.37269000067751E-4</v>
      </c>
      <c r="BL15">
        <v>1.7852827142118599E-4</v>
      </c>
      <c r="BM15">
        <v>1.6030460562002801E-4</v>
      </c>
      <c r="BN15">
        <v>0</v>
      </c>
      <c r="BO15">
        <v>1.8454827919161401E-4</v>
      </c>
      <c r="BP15">
        <v>1.8759316037285901E-4</v>
      </c>
      <c r="BQ15">
        <v>1.57309880084334E-4</v>
      </c>
      <c r="BR15">
        <v>3.1284844451267597E-4</v>
      </c>
      <c r="BS15">
        <v>4.7318612331905602E-5</v>
      </c>
      <c r="BT15">
        <v>0</v>
      </c>
      <c r="BU15">
        <v>5.86327143592228E-5</v>
      </c>
      <c r="BV15">
        <v>0</v>
      </c>
      <c r="BW15">
        <v>0</v>
      </c>
      <c r="BX15">
        <v>1.1036592308053201E-4</v>
      </c>
      <c r="BY15">
        <v>0</v>
      </c>
      <c r="BZ15">
        <v>1.98494281720099E-4</v>
      </c>
      <c r="CA15">
        <v>2.3669113923859399E-4</v>
      </c>
      <c r="CB15">
        <v>1.0240142494186501E-4</v>
      </c>
      <c r="CC15">
        <v>2.14917608844929E-4</v>
      </c>
      <c r="CD15">
        <v>0</v>
      </c>
      <c r="CE15">
        <v>2.0895944206372901E-4</v>
      </c>
      <c r="CF15">
        <v>0</v>
      </c>
      <c r="CG15">
        <v>4.3182820001814998E-4</v>
      </c>
      <c r="CH15">
        <v>0</v>
      </c>
      <c r="CI15">
        <v>2.5741923776481299E-4</v>
      </c>
      <c r="CJ15">
        <f>MAX(E15:CI15)</f>
        <v>5.4072817578804805E-4</v>
      </c>
    </row>
    <row r="16" spans="1:88" x14ac:dyDescent="0.2">
      <c r="A16" t="s">
        <v>104</v>
      </c>
      <c r="B16" t="s">
        <v>104</v>
      </c>
      <c r="C16" t="s">
        <v>88</v>
      </c>
      <c r="D16" t="s">
        <v>89</v>
      </c>
      <c r="E16">
        <v>0</v>
      </c>
      <c r="F16">
        <v>0</v>
      </c>
      <c r="G16">
        <v>1.35378282486248E-5</v>
      </c>
      <c r="H16">
        <v>0</v>
      </c>
      <c r="I16">
        <v>2.9127485853199101E-5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2.8138050192909999E-5</v>
      </c>
      <c r="Q16">
        <v>1.02696820967963E-4</v>
      </c>
      <c r="R16">
        <v>6.6513683569365396E-5</v>
      </c>
      <c r="S16">
        <v>6.1673273420081095E-5</v>
      </c>
      <c r="T16">
        <v>0</v>
      </c>
      <c r="U16">
        <v>0</v>
      </c>
      <c r="V16">
        <v>3.01338068342698E-5</v>
      </c>
      <c r="W16">
        <v>4.2795391131895202E-5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6.3416022606154095E-5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2.5440403781120698E-5</v>
      </c>
      <c r="BD16">
        <v>0</v>
      </c>
      <c r="BE16">
        <v>1.9270944471224299E-5</v>
      </c>
      <c r="BF16">
        <v>0</v>
      </c>
      <c r="BG16">
        <v>0</v>
      </c>
      <c r="BH16">
        <v>0</v>
      </c>
      <c r="BI16">
        <v>1.8276119960159E-5</v>
      </c>
      <c r="BJ16">
        <v>2.7019916339347402E-5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6.1234757175350105E-5</v>
      </c>
      <c r="CI16">
        <v>0</v>
      </c>
      <c r="CJ16">
        <f>MAX(E16:CI16)</f>
        <v>1.02696820967963E-4</v>
      </c>
    </row>
    <row r="17" spans="1:88" x14ac:dyDescent="0.2">
      <c r="A17" t="s">
        <v>105</v>
      </c>
      <c r="B17" t="s">
        <v>105</v>
      </c>
      <c r="C17" t="s">
        <v>88</v>
      </c>
      <c r="D17" t="s">
        <v>89</v>
      </c>
      <c r="E17">
        <v>0</v>
      </c>
      <c r="F17">
        <v>5.2218332586215297E-4</v>
      </c>
      <c r="G17">
        <v>3.0229015271347802E-4</v>
      </c>
      <c r="H17">
        <v>3.2969776264760202E-4</v>
      </c>
      <c r="I17">
        <v>2.7056523921692099E-5</v>
      </c>
      <c r="J17">
        <v>7.7119108417944996E-5</v>
      </c>
      <c r="K17">
        <v>9.9180661373109201E-4</v>
      </c>
      <c r="L17">
        <v>0</v>
      </c>
      <c r="M17">
        <v>1.16568175757642E-4</v>
      </c>
      <c r="N17">
        <v>1.25691815715936E-4</v>
      </c>
      <c r="O17">
        <v>4.0468583194165601E-5</v>
      </c>
      <c r="P17">
        <v>0</v>
      </c>
      <c r="Q17">
        <v>0</v>
      </c>
      <c r="R17">
        <v>0</v>
      </c>
      <c r="S17">
        <v>3.8316161931208802E-5</v>
      </c>
      <c r="T17">
        <v>2.40534845447296E-4</v>
      </c>
      <c r="U17">
        <v>3.28227526536142E-4</v>
      </c>
      <c r="V17">
        <v>5.3554997084011497E-4</v>
      </c>
      <c r="W17">
        <v>9.2805560925472605E-5</v>
      </c>
      <c r="X17">
        <v>2.0011378205402399E-5</v>
      </c>
      <c r="Y17">
        <v>4.7225438592929202E-4</v>
      </c>
      <c r="Z17">
        <v>2.16898226022296E-4</v>
      </c>
      <c r="AA17">
        <v>8.97098230410364E-4</v>
      </c>
      <c r="AB17">
        <v>5.1743761921948299E-5</v>
      </c>
      <c r="AC17">
        <v>0</v>
      </c>
      <c r="AD17">
        <v>5.6522062376662197E-4</v>
      </c>
      <c r="AE17">
        <v>3.4946444773343102E-4</v>
      </c>
      <c r="AF17">
        <v>5.0523682815272798E-4</v>
      </c>
      <c r="AG17">
        <v>0</v>
      </c>
      <c r="AH17">
        <v>2.25964388152963E-4</v>
      </c>
      <c r="AI17">
        <v>4.91226740383757E-4</v>
      </c>
      <c r="AJ17">
        <v>3.2052211513448702E-4</v>
      </c>
      <c r="AK17">
        <v>7.4067724071571399E-4</v>
      </c>
      <c r="AL17">
        <v>4.2372003550325099E-4</v>
      </c>
      <c r="AM17">
        <v>7.46945645873407E-4</v>
      </c>
      <c r="AN17">
        <v>1.22793393039517E-3</v>
      </c>
      <c r="AO17">
        <v>2.40545368864528E-5</v>
      </c>
      <c r="AP17">
        <v>1.9030403644910201E-4</v>
      </c>
      <c r="AQ17">
        <v>6.0190645384169596E-3</v>
      </c>
      <c r="AR17">
        <v>1.2808373989914399E-4</v>
      </c>
      <c r="AS17">
        <v>8.86257656222032E-4</v>
      </c>
      <c r="AT17">
        <v>1.6169031235025301E-4</v>
      </c>
      <c r="AU17">
        <v>0</v>
      </c>
      <c r="AV17">
        <v>2.9167889095195102E-4</v>
      </c>
      <c r="AW17">
        <v>8.0103593636866996E-4</v>
      </c>
      <c r="AX17">
        <v>4.6352162457444001E-4</v>
      </c>
      <c r="AY17">
        <v>6.0611355975645899E-4</v>
      </c>
      <c r="AZ17">
        <v>0</v>
      </c>
      <c r="BA17">
        <v>1.42933161546302E-3</v>
      </c>
      <c r="BB17">
        <v>7.40232246154941E-4</v>
      </c>
      <c r="BC17">
        <v>0</v>
      </c>
      <c r="BD17">
        <v>0</v>
      </c>
      <c r="BE17">
        <v>3.9280047111762598E-4</v>
      </c>
      <c r="BF17">
        <v>2.4810013466457302E-4</v>
      </c>
      <c r="BG17">
        <v>2.0807169258112001E-3</v>
      </c>
      <c r="BH17">
        <v>0</v>
      </c>
      <c r="BI17">
        <v>5.4706634724629403E-4</v>
      </c>
      <c r="BJ17">
        <v>6.5774264435843695E-4</v>
      </c>
      <c r="BK17">
        <v>4.1238038523550198E-4</v>
      </c>
      <c r="BL17">
        <v>7.3191896423272602E-4</v>
      </c>
      <c r="BM17">
        <v>7.7809208937824003E-4</v>
      </c>
      <c r="BN17">
        <v>0</v>
      </c>
      <c r="BO17">
        <v>8.7586868649994502E-4</v>
      </c>
      <c r="BP17">
        <v>0</v>
      </c>
      <c r="BQ17">
        <v>4.5472098813979398E-4</v>
      </c>
      <c r="BR17">
        <v>1.13261158623633E-3</v>
      </c>
      <c r="BS17">
        <v>3.1025729375316901E-4</v>
      </c>
      <c r="BT17">
        <v>1.52802690069781E-3</v>
      </c>
      <c r="BU17">
        <v>2.5983999547617701E-4</v>
      </c>
      <c r="BV17">
        <v>0</v>
      </c>
      <c r="BW17">
        <v>4.9506246507969697E-4</v>
      </c>
      <c r="BX17">
        <v>3.7810985770073298E-4</v>
      </c>
      <c r="BY17">
        <v>2.5604777130849498E-3</v>
      </c>
      <c r="BZ17">
        <v>0</v>
      </c>
      <c r="CA17">
        <v>6.0950602078961905E-4</v>
      </c>
      <c r="CB17">
        <v>3.58573342853148E-4</v>
      </c>
      <c r="CC17">
        <v>9.9546501128293103E-4</v>
      </c>
      <c r="CD17">
        <v>3.2271042849386401E-4</v>
      </c>
      <c r="CE17">
        <v>0</v>
      </c>
      <c r="CF17">
        <v>1.4756113940266301E-3</v>
      </c>
      <c r="CG17">
        <v>0</v>
      </c>
      <c r="CH17">
        <v>0</v>
      </c>
      <c r="CI17">
        <v>3.9830338747896197E-4</v>
      </c>
      <c r="CJ17">
        <f>MAX(E17:CI17)</f>
        <v>6.0190645384169596E-3</v>
      </c>
    </row>
    <row r="18" spans="1:88" x14ac:dyDescent="0.2">
      <c r="A18" t="s">
        <v>106</v>
      </c>
      <c r="B18" t="s">
        <v>106</v>
      </c>
      <c r="C18" t="s">
        <v>88</v>
      </c>
      <c r="D18" t="s">
        <v>89</v>
      </c>
      <c r="E18">
        <v>1.1649653280819199E-4</v>
      </c>
      <c r="F18">
        <v>1.0457503051985401E-3</v>
      </c>
      <c r="G18">
        <v>5.3663500681559099E-4</v>
      </c>
      <c r="H18">
        <v>2.22480524648165E-3</v>
      </c>
      <c r="I18">
        <v>3.6656247147509699E-4</v>
      </c>
      <c r="J18">
        <v>2.6029810115978802E-4</v>
      </c>
      <c r="K18">
        <v>0</v>
      </c>
      <c r="L18">
        <v>0</v>
      </c>
      <c r="M18">
        <v>0</v>
      </c>
      <c r="N18">
        <v>0</v>
      </c>
      <c r="O18">
        <v>1.11778428616026E-4</v>
      </c>
      <c r="P18">
        <v>5.8682958409538897E-5</v>
      </c>
      <c r="Q18">
        <v>1.7119812347158501E-3</v>
      </c>
      <c r="R18">
        <v>7.7036581018073604E-5</v>
      </c>
      <c r="S18">
        <v>2.80712013933824E-4</v>
      </c>
      <c r="T18">
        <v>0</v>
      </c>
      <c r="U18">
        <v>5.2818005808482596E-4</v>
      </c>
      <c r="V18">
        <v>1.6758957514982401E-3</v>
      </c>
      <c r="W18">
        <v>4.6279536420689002E-4</v>
      </c>
      <c r="X18">
        <v>3.7932983314979797E-5</v>
      </c>
      <c r="Y18">
        <v>1.9610153809084599E-5</v>
      </c>
      <c r="Z18">
        <v>5.7638411067191997E-5</v>
      </c>
      <c r="AA18">
        <v>1.7937338339049E-3</v>
      </c>
      <c r="AB18">
        <v>7.2519032266530302E-4</v>
      </c>
      <c r="AC18">
        <v>0</v>
      </c>
      <c r="AD18">
        <v>0</v>
      </c>
      <c r="AE18">
        <v>1.81911435089903E-3</v>
      </c>
      <c r="AF18">
        <v>0</v>
      </c>
      <c r="AG18">
        <v>0</v>
      </c>
      <c r="AH18">
        <v>0</v>
      </c>
      <c r="AI18">
        <v>5.2273309886403897E-5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5.5032722736076801E-5</v>
      </c>
      <c r="AQ18">
        <v>0</v>
      </c>
      <c r="AR18">
        <v>8.3762764050641307E-5</v>
      </c>
      <c r="AS18">
        <v>0</v>
      </c>
      <c r="AT18">
        <v>3.7964265330534602E-3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1.58705873598021E-4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4.6675824689556197E-5</v>
      </c>
      <c r="BJ18">
        <v>7.1564559101536902E-4</v>
      </c>
      <c r="BK18">
        <v>3.9798252218489103E-5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1.7041860265767301E-4</v>
      </c>
      <c r="BV18">
        <v>0</v>
      </c>
      <c r="BW18">
        <v>0</v>
      </c>
      <c r="BX18">
        <v>4.9973987058325697E-5</v>
      </c>
      <c r="BY18">
        <v>0</v>
      </c>
      <c r="BZ18">
        <v>0</v>
      </c>
      <c r="CA18">
        <v>2.4409899986100699E-5</v>
      </c>
      <c r="CB18">
        <v>0</v>
      </c>
      <c r="CC18">
        <v>0</v>
      </c>
      <c r="CD18">
        <v>3.88432893526004E-5</v>
      </c>
      <c r="CE18">
        <v>0</v>
      </c>
      <c r="CF18">
        <v>0</v>
      </c>
      <c r="CG18">
        <v>0</v>
      </c>
      <c r="CH18">
        <v>0</v>
      </c>
      <c r="CI18">
        <v>0</v>
      </c>
      <c r="CJ18">
        <f>MAX(E18:CI18)</f>
        <v>3.7964265330534602E-3</v>
      </c>
    </row>
    <row r="19" spans="1:88" x14ac:dyDescent="0.2">
      <c r="A19" t="s">
        <v>107</v>
      </c>
      <c r="B19" t="s">
        <v>107</v>
      </c>
      <c r="C19" t="s">
        <v>88</v>
      </c>
      <c r="D19" t="s">
        <v>89</v>
      </c>
      <c r="E19">
        <v>2.0923291229339401E-5</v>
      </c>
      <c r="F19">
        <v>0</v>
      </c>
      <c r="G19">
        <v>7.2125194943879603E-6</v>
      </c>
      <c r="H19">
        <v>0</v>
      </c>
      <c r="I19">
        <v>1.40727508888965E-5</v>
      </c>
      <c r="J19">
        <v>0</v>
      </c>
      <c r="K19">
        <v>1.2453459135212299E-4</v>
      </c>
      <c r="L19">
        <v>0</v>
      </c>
      <c r="M19">
        <v>1.08412909542527E-5</v>
      </c>
      <c r="N19">
        <v>2.9028460232661701E-5</v>
      </c>
      <c r="O19">
        <v>0</v>
      </c>
      <c r="P19">
        <v>2.1611355131436699E-5</v>
      </c>
      <c r="Q19">
        <v>0</v>
      </c>
      <c r="R19">
        <v>1.68158567865568E-5</v>
      </c>
      <c r="S19">
        <v>0</v>
      </c>
      <c r="T19">
        <v>0</v>
      </c>
      <c r="U19">
        <v>2.44879257632995E-5</v>
      </c>
      <c r="V19">
        <v>6.4932630944366102E-6</v>
      </c>
      <c r="W19">
        <v>0</v>
      </c>
      <c r="X19">
        <v>0</v>
      </c>
      <c r="Y19">
        <v>1.8641806683254598E-5</v>
      </c>
      <c r="Z19">
        <v>0</v>
      </c>
      <c r="AA19">
        <v>7.1085823678902903E-5</v>
      </c>
      <c r="AB19">
        <v>7.31167703712795E-5</v>
      </c>
      <c r="AC19">
        <v>3.90596187548828E-5</v>
      </c>
      <c r="AD19">
        <v>4.4992901414047198E-5</v>
      </c>
      <c r="AE19">
        <v>0</v>
      </c>
      <c r="AF19">
        <v>0</v>
      </c>
      <c r="AG19">
        <v>8.2817096419491593E-6</v>
      </c>
      <c r="AH19">
        <v>3.28756993388183E-5</v>
      </c>
      <c r="AI19">
        <v>0</v>
      </c>
      <c r="AJ19">
        <v>3.0234514557019601E-5</v>
      </c>
      <c r="AK19">
        <v>0</v>
      </c>
      <c r="AL19">
        <v>6.7818784225979505E-5</v>
      </c>
      <c r="AM19">
        <v>1.1124717721294899E-5</v>
      </c>
      <c r="AN19">
        <v>0</v>
      </c>
      <c r="AO19">
        <v>6.4377780530742006E-5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1.28342649321548E-5</v>
      </c>
      <c r="AW19">
        <v>1.0818996990834E-5</v>
      </c>
      <c r="AX19">
        <v>0</v>
      </c>
      <c r="AY19">
        <v>1.0993627055395501E-5</v>
      </c>
      <c r="AZ19">
        <v>3.7012549396338397E-5</v>
      </c>
      <c r="BA19">
        <v>1.90439924225387E-5</v>
      </c>
      <c r="BB19">
        <v>1.26248143364859E-5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1.32717135645623E-5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3.3337421034739899E-5</v>
      </c>
      <c r="BO19">
        <v>4.6685175956228203E-5</v>
      </c>
      <c r="BP19">
        <v>7.2572485954827799E-6</v>
      </c>
      <c r="BQ19">
        <v>2.5238410510076701E-5</v>
      </c>
      <c r="BR19">
        <v>1.3424959988179799E-5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7.3007924111674501E-6</v>
      </c>
      <c r="CA19">
        <v>2.0765481223907601E-5</v>
      </c>
      <c r="CB19">
        <v>0</v>
      </c>
      <c r="CC19">
        <v>0</v>
      </c>
      <c r="CD19">
        <v>2.1061776505853599E-5</v>
      </c>
      <c r="CE19">
        <v>3.3892843010765903E-5</v>
      </c>
      <c r="CF19">
        <v>0</v>
      </c>
      <c r="CG19">
        <v>2.1263952820171602E-5</v>
      </c>
      <c r="CH19">
        <v>1.4129636848037501E-5</v>
      </c>
      <c r="CI19">
        <v>5.6168393165995903E-5</v>
      </c>
      <c r="CJ19">
        <f>MAX(E19:CI19)</f>
        <v>1.2453459135212299E-4</v>
      </c>
    </row>
    <row r="20" spans="1:88" x14ac:dyDescent="0.2">
      <c r="A20" t="s">
        <v>108</v>
      </c>
      <c r="B20" t="s">
        <v>108</v>
      </c>
      <c r="C20" t="s">
        <v>88</v>
      </c>
      <c r="D20" t="s">
        <v>89</v>
      </c>
      <c r="E20">
        <v>1.2172702275214799E-4</v>
      </c>
      <c r="F20">
        <v>3.7001727461584899E-4</v>
      </c>
      <c r="G20">
        <v>2.60310687993175E-4</v>
      </c>
      <c r="H20">
        <v>0</v>
      </c>
      <c r="I20">
        <v>4.8799682903443098E-4</v>
      </c>
      <c r="J20">
        <v>5.3836150681689304E-4</v>
      </c>
      <c r="K20">
        <v>3.31391984675699E-4</v>
      </c>
      <c r="L20">
        <v>7.9408501385778106E-5</v>
      </c>
      <c r="M20">
        <v>6.3131484263256003E-5</v>
      </c>
      <c r="N20">
        <v>0</v>
      </c>
      <c r="O20">
        <v>0</v>
      </c>
      <c r="P20">
        <v>1.6564601790629801E-4</v>
      </c>
      <c r="Q20">
        <v>0</v>
      </c>
      <c r="R20">
        <v>0</v>
      </c>
      <c r="S20">
        <v>0</v>
      </c>
      <c r="T20">
        <v>3.5322871384913201E-4</v>
      </c>
      <c r="U20">
        <v>7.6012147076278595E-5</v>
      </c>
      <c r="V20">
        <v>4.2191503325041699E-4</v>
      </c>
      <c r="W20">
        <v>2.1867946363141001E-4</v>
      </c>
      <c r="X20">
        <v>4.6050356855471098E-5</v>
      </c>
      <c r="Y20">
        <v>7.5152771288338401E-5</v>
      </c>
      <c r="Z20">
        <v>0</v>
      </c>
      <c r="AA20">
        <v>4.1467132076211698E-4</v>
      </c>
      <c r="AB20">
        <v>2.1238947920641701E-4</v>
      </c>
      <c r="AC20">
        <v>2.1821771305021099E-4</v>
      </c>
      <c r="AD20">
        <v>2.4506652917347701E-4</v>
      </c>
      <c r="AE20">
        <v>0</v>
      </c>
      <c r="AF20">
        <v>3.5029101680420698E-4</v>
      </c>
      <c r="AG20">
        <v>4.2064719765667101E-5</v>
      </c>
      <c r="AH20">
        <v>1.7504914747353901E-4</v>
      </c>
      <c r="AI20">
        <v>0</v>
      </c>
      <c r="AJ20">
        <v>9.3162685718694405E-5</v>
      </c>
      <c r="AK20">
        <v>1.0945862794636301E-4</v>
      </c>
      <c r="AL20">
        <v>1.3534150452106401E-4</v>
      </c>
      <c r="AM20">
        <v>1.00367706451323E-4</v>
      </c>
      <c r="AN20">
        <v>2.8083808307773501E-4</v>
      </c>
      <c r="AO20">
        <v>1.97927892318748E-5</v>
      </c>
      <c r="AP20">
        <v>7.2180352724474699E-5</v>
      </c>
      <c r="AQ20">
        <v>0</v>
      </c>
      <c r="AR20">
        <v>0</v>
      </c>
      <c r="AS20">
        <v>0</v>
      </c>
      <c r="AT20">
        <v>2.3934314862802399E-4</v>
      </c>
      <c r="AU20">
        <v>1.3654443350770399E-4</v>
      </c>
      <c r="AV20">
        <v>1.13609330356169E-4</v>
      </c>
      <c r="AW20">
        <v>3.3968940396397301E-4</v>
      </c>
      <c r="AX20">
        <v>8.6441441384748597E-5</v>
      </c>
      <c r="AY20">
        <v>0</v>
      </c>
      <c r="AZ20">
        <v>1.3916979900111101E-4</v>
      </c>
      <c r="BA20">
        <v>4.7375739277205598E-4</v>
      </c>
      <c r="BB20">
        <v>8.7395485640058399E-5</v>
      </c>
      <c r="BC20">
        <v>2.52922811032531E-4</v>
      </c>
      <c r="BD20">
        <v>7.6982852628183594E-5</v>
      </c>
      <c r="BE20">
        <v>0</v>
      </c>
      <c r="BF20">
        <v>0</v>
      </c>
      <c r="BG20">
        <v>0</v>
      </c>
      <c r="BH20">
        <v>2.4433630391455102E-4</v>
      </c>
      <c r="BI20">
        <v>2.92704230900888E-4</v>
      </c>
      <c r="BJ20">
        <v>0</v>
      </c>
      <c r="BK20">
        <v>1.6503839824245399E-4</v>
      </c>
      <c r="BL20">
        <v>1.9461799767051601E-4</v>
      </c>
      <c r="BM20">
        <v>2.3247807454060499E-4</v>
      </c>
      <c r="BN20">
        <v>0</v>
      </c>
      <c r="BO20">
        <v>2.27787034149751E-4</v>
      </c>
      <c r="BP20">
        <v>0</v>
      </c>
      <c r="BQ20">
        <v>2.12386544957593E-4</v>
      </c>
      <c r="BR20">
        <v>0</v>
      </c>
      <c r="BS20">
        <v>7.7487562561827998E-5</v>
      </c>
      <c r="BT20">
        <v>0</v>
      </c>
      <c r="BU20">
        <v>8.9723663930230693E-5</v>
      </c>
      <c r="BV20">
        <v>2.4347422942321301E-5</v>
      </c>
      <c r="BW20">
        <v>1.16522286999809E-4</v>
      </c>
      <c r="BX20">
        <v>1.9404345555309999E-4</v>
      </c>
      <c r="BY20">
        <v>5.7693780778653697E-5</v>
      </c>
      <c r="BZ20">
        <v>3.1142322657347598E-4</v>
      </c>
      <c r="CA20">
        <v>0</v>
      </c>
      <c r="CB20">
        <v>2.9552824858515098E-4</v>
      </c>
      <c r="CC20">
        <v>1.3432999543781601E-4</v>
      </c>
      <c r="CD20">
        <v>1.2868946636541899E-4</v>
      </c>
      <c r="CE20">
        <v>0</v>
      </c>
      <c r="CF20">
        <v>2.9278714173829599E-4</v>
      </c>
      <c r="CG20">
        <v>4.0078734492971201E-4</v>
      </c>
      <c r="CH20">
        <v>0</v>
      </c>
      <c r="CI20">
        <v>0</v>
      </c>
      <c r="CJ20">
        <f>MAX(E20:CI20)</f>
        <v>5.3836150681689304E-4</v>
      </c>
    </row>
    <row r="21" spans="1:88" x14ac:dyDescent="0.2">
      <c r="A21" t="s">
        <v>109</v>
      </c>
      <c r="B21" t="s">
        <v>109</v>
      </c>
      <c r="C21" t="s">
        <v>88</v>
      </c>
      <c r="D21" t="s">
        <v>89</v>
      </c>
      <c r="E21">
        <v>0</v>
      </c>
      <c r="F21">
        <v>0</v>
      </c>
      <c r="G21">
        <v>0</v>
      </c>
      <c r="H21">
        <v>0</v>
      </c>
      <c r="I21">
        <v>0</v>
      </c>
      <c r="J21">
        <v>5.2743992380910201E-4</v>
      </c>
      <c r="K21">
        <v>1.82330364425215E-3</v>
      </c>
      <c r="L21">
        <v>4.0414015156328101E-4</v>
      </c>
      <c r="M21">
        <v>0</v>
      </c>
      <c r="N21">
        <v>0</v>
      </c>
      <c r="O21">
        <v>1.42764753563137E-4</v>
      </c>
      <c r="P21">
        <v>6.0045435632582903E-4</v>
      </c>
      <c r="Q21">
        <v>3.2107315823564301E-3</v>
      </c>
      <c r="R21">
        <v>8.18838021003386E-4</v>
      </c>
      <c r="S21">
        <v>0</v>
      </c>
      <c r="T21">
        <v>8.5350682840738303E-4</v>
      </c>
      <c r="U21">
        <v>1.2262640602390101E-3</v>
      </c>
      <c r="V21">
        <v>0</v>
      </c>
      <c r="W21">
        <v>1.4248954510657299E-3</v>
      </c>
      <c r="X21">
        <v>0</v>
      </c>
      <c r="Y21">
        <v>9.59433768612071E-4</v>
      </c>
      <c r="Z21">
        <v>6.0744225626074605E-4</v>
      </c>
      <c r="AA21">
        <v>0</v>
      </c>
      <c r="AB21">
        <v>0</v>
      </c>
      <c r="AC21">
        <v>1.71873531283747E-3</v>
      </c>
      <c r="AD21">
        <v>1.0252505241767199E-3</v>
      </c>
      <c r="AE21">
        <v>0</v>
      </c>
      <c r="AF21">
        <v>2.1236698433471299E-3</v>
      </c>
      <c r="AG21">
        <v>1.1085390591538001E-3</v>
      </c>
      <c r="AH21">
        <v>5.3603481788604699E-4</v>
      </c>
      <c r="AI21">
        <v>5.9925270072797802E-4</v>
      </c>
      <c r="AJ21">
        <v>3.9492806740842803E-4</v>
      </c>
      <c r="AK21">
        <v>8.6128324750409698E-4</v>
      </c>
      <c r="AL21">
        <v>0</v>
      </c>
      <c r="AM21">
        <v>7.4719851483522797E-4</v>
      </c>
      <c r="AN21">
        <v>8.3638262073936701E-4</v>
      </c>
      <c r="AO21">
        <v>0</v>
      </c>
      <c r="AP21">
        <v>5.7406623022868001E-4</v>
      </c>
      <c r="AQ21">
        <v>7.5881341475373299E-4</v>
      </c>
      <c r="AR21">
        <v>3.4421754275076801E-4</v>
      </c>
      <c r="AS21">
        <v>1.3035959423966399E-3</v>
      </c>
      <c r="AT21">
        <v>6.4361032118831103E-3</v>
      </c>
      <c r="AU21">
        <v>0</v>
      </c>
      <c r="AV21">
        <v>7.9762360853756205E-4</v>
      </c>
      <c r="AW21">
        <v>1.1089143409732699E-3</v>
      </c>
      <c r="AX21">
        <v>1.04149694409059E-3</v>
      </c>
      <c r="AY21">
        <v>6.7755881531314705E-4</v>
      </c>
      <c r="AZ21">
        <v>1.1548830304938401E-3</v>
      </c>
      <c r="BA21">
        <v>1.2326250800114001E-3</v>
      </c>
      <c r="BB21">
        <v>9.2187492006298504E-4</v>
      </c>
      <c r="BC21">
        <v>0</v>
      </c>
      <c r="BD21">
        <v>6.0842913172890899E-4</v>
      </c>
      <c r="BE21">
        <v>4.29169648060965E-4</v>
      </c>
      <c r="BF21">
        <v>7.0305289354610301E-4</v>
      </c>
      <c r="BG21">
        <v>0</v>
      </c>
      <c r="BH21">
        <v>1.0673896811430801E-3</v>
      </c>
      <c r="BI21">
        <v>1.1161614017582799E-3</v>
      </c>
      <c r="BJ21">
        <v>0</v>
      </c>
      <c r="BK21">
        <v>5.0513911613635101E-4</v>
      </c>
      <c r="BL21">
        <v>9.5317797810386096E-4</v>
      </c>
      <c r="BM21">
        <v>6.9481150327681295E-4</v>
      </c>
      <c r="BN21">
        <v>1.18396264430971E-3</v>
      </c>
      <c r="BO21">
        <v>9.6786770739541196E-4</v>
      </c>
      <c r="BP21">
        <v>6.0095229768670295E-4</v>
      </c>
      <c r="BQ21">
        <v>5.8059862101479296E-4</v>
      </c>
      <c r="BR21">
        <v>1.62249362846257E-3</v>
      </c>
      <c r="BS21">
        <v>9.858707916923881E-4</v>
      </c>
      <c r="BT21">
        <v>0</v>
      </c>
      <c r="BU21">
        <v>4.7824892224643001E-4</v>
      </c>
      <c r="BV21">
        <v>2.96235430499817E-4</v>
      </c>
      <c r="BW21">
        <v>0</v>
      </c>
      <c r="BX21">
        <v>6.9450919502886204E-4</v>
      </c>
      <c r="BY21">
        <v>0</v>
      </c>
      <c r="BZ21">
        <v>1.10188177514532E-3</v>
      </c>
      <c r="CA21">
        <v>7.0796045548484395E-4</v>
      </c>
      <c r="CB21">
        <v>7.3527364586845403E-4</v>
      </c>
      <c r="CC21">
        <v>1.4144122205556799E-3</v>
      </c>
      <c r="CD21">
        <v>5.4629974777231801E-4</v>
      </c>
      <c r="CE21">
        <v>8.7003755648418799E-4</v>
      </c>
      <c r="CF21">
        <v>2.2177316781649302E-3</v>
      </c>
      <c r="CG21">
        <v>1.85035475289416E-3</v>
      </c>
      <c r="CH21">
        <v>8.1224117231935898E-4</v>
      </c>
      <c r="CI21">
        <v>8.3310741521611803E-4</v>
      </c>
      <c r="CJ21">
        <f>MAX(E21:CI21)</f>
        <v>6.4361032118831103E-3</v>
      </c>
    </row>
    <row r="22" spans="1:88" x14ac:dyDescent="0.2">
      <c r="A22" t="s">
        <v>110</v>
      </c>
      <c r="B22" t="s">
        <v>110</v>
      </c>
      <c r="C22" t="s">
        <v>88</v>
      </c>
      <c r="D22" t="s">
        <v>89</v>
      </c>
      <c r="E22">
        <v>8.6075390172200502E-4</v>
      </c>
      <c r="F22">
        <v>1.70960586871664E-3</v>
      </c>
      <c r="G22">
        <v>2.64038951805562E-3</v>
      </c>
      <c r="H22">
        <v>6.2674517611773497E-3</v>
      </c>
      <c r="I22">
        <v>1.2407577598260401E-3</v>
      </c>
      <c r="J22">
        <v>4.5504463669846803E-4</v>
      </c>
      <c r="K22">
        <v>2.69587654355745E-5</v>
      </c>
      <c r="L22">
        <v>0</v>
      </c>
      <c r="M22">
        <v>4.6786224454944298E-5</v>
      </c>
      <c r="N22">
        <v>0</v>
      </c>
      <c r="O22">
        <v>0</v>
      </c>
      <c r="P22">
        <v>1.0851530614844E-4</v>
      </c>
      <c r="Q22">
        <v>4.9322150039649302E-3</v>
      </c>
      <c r="R22">
        <v>1.77407101340026E-4</v>
      </c>
      <c r="S22">
        <v>7.0956142951958401E-4</v>
      </c>
      <c r="T22">
        <v>1.03643005877127E-3</v>
      </c>
      <c r="U22">
        <v>5.8683634025954404E-4</v>
      </c>
      <c r="V22">
        <v>4.4446544258373803E-3</v>
      </c>
      <c r="W22">
        <v>9.1103067458240996E-4</v>
      </c>
      <c r="X22">
        <v>0</v>
      </c>
      <c r="Y22">
        <v>0</v>
      </c>
      <c r="Z22">
        <v>3.42098366138542E-4</v>
      </c>
      <c r="AA22">
        <v>4.0329979383654799E-3</v>
      </c>
      <c r="AB22">
        <v>2.7110092537352601E-3</v>
      </c>
      <c r="AC22">
        <v>0</v>
      </c>
      <c r="AD22">
        <v>1.8738119315287101E-5</v>
      </c>
      <c r="AE22">
        <v>5.1369223387070801E-3</v>
      </c>
      <c r="AF22">
        <v>0</v>
      </c>
      <c r="AG22">
        <v>4.8097665756705099E-5</v>
      </c>
      <c r="AH22">
        <v>0</v>
      </c>
      <c r="AI22">
        <v>0</v>
      </c>
      <c r="AJ22">
        <v>0</v>
      </c>
      <c r="AK22">
        <v>1.5263354813765801E-5</v>
      </c>
      <c r="AL22">
        <v>0</v>
      </c>
      <c r="AM22">
        <v>0</v>
      </c>
      <c r="AN22">
        <v>0</v>
      </c>
      <c r="AO22">
        <v>1.58181613076795E-4</v>
      </c>
      <c r="AP22">
        <v>1.3882414263802499E-4</v>
      </c>
      <c r="AQ22">
        <v>0</v>
      </c>
      <c r="AR22">
        <v>0</v>
      </c>
      <c r="AS22">
        <v>0</v>
      </c>
      <c r="AT22">
        <v>1.46391209841009E-2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5.1513255856099104E-4</v>
      </c>
      <c r="BD22">
        <v>1.09676605363788E-4</v>
      </c>
      <c r="BE22">
        <v>0</v>
      </c>
      <c r="BF22">
        <v>2.26669454783657E-4</v>
      </c>
      <c r="BG22">
        <v>2.4123926688498299E-5</v>
      </c>
      <c r="BH22">
        <v>0</v>
      </c>
      <c r="BI22">
        <v>0</v>
      </c>
      <c r="BJ22">
        <v>2.09263748266845E-3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2.73565924189877E-4</v>
      </c>
      <c r="BV22">
        <v>0</v>
      </c>
      <c r="BW22">
        <v>0</v>
      </c>
      <c r="BX22">
        <v>2.1196931678149399E-5</v>
      </c>
      <c r="BY22">
        <v>0</v>
      </c>
      <c r="BZ22">
        <v>1.30791042067995E-4</v>
      </c>
      <c r="CA22">
        <v>1.9477266204703499E-4</v>
      </c>
      <c r="CB22">
        <v>0</v>
      </c>
      <c r="CC22">
        <v>0</v>
      </c>
      <c r="CD22">
        <v>3.8380797983134E-5</v>
      </c>
      <c r="CE22">
        <v>9.5016931259874106E-5</v>
      </c>
      <c r="CF22">
        <v>0</v>
      </c>
      <c r="CG22">
        <v>0</v>
      </c>
      <c r="CH22">
        <v>0</v>
      </c>
      <c r="CI22">
        <v>0</v>
      </c>
      <c r="CJ22">
        <f>MAX(E22:CI22)</f>
        <v>1.46391209841009E-2</v>
      </c>
    </row>
    <row r="23" spans="1:88" x14ac:dyDescent="0.2">
      <c r="A23" t="s">
        <v>111</v>
      </c>
      <c r="B23" t="s">
        <v>111</v>
      </c>
      <c r="C23" t="s">
        <v>88</v>
      </c>
      <c r="D23" t="s">
        <v>89</v>
      </c>
      <c r="E23">
        <v>0</v>
      </c>
      <c r="F23">
        <v>5.2909663564234296E-4</v>
      </c>
      <c r="G23">
        <v>6.2590295220378903E-4</v>
      </c>
      <c r="H23">
        <v>2.7526753892585199E-3</v>
      </c>
      <c r="I23">
        <v>6.1833951359912404E-4</v>
      </c>
      <c r="J23">
        <v>1.5907575751014701E-4</v>
      </c>
      <c r="K23">
        <v>0</v>
      </c>
      <c r="L23">
        <v>0</v>
      </c>
      <c r="M23">
        <v>5.79706273139351E-5</v>
      </c>
      <c r="N23">
        <v>0</v>
      </c>
      <c r="O23">
        <v>0</v>
      </c>
      <c r="P23">
        <v>0</v>
      </c>
      <c r="Q23">
        <v>2.5250675456297699E-3</v>
      </c>
      <c r="R23">
        <v>7.9324071989320797E-5</v>
      </c>
      <c r="S23">
        <v>4.2656282112250502E-4</v>
      </c>
      <c r="T23">
        <v>2.6071378818523901E-4</v>
      </c>
      <c r="U23">
        <v>2.0790407416027199E-4</v>
      </c>
      <c r="V23">
        <v>2.1044373444565299E-3</v>
      </c>
      <c r="W23">
        <v>4.69522057890959E-4</v>
      </c>
      <c r="X23">
        <v>4.3994967377023199E-5</v>
      </c>
      <c r="Y23">
        <v>0</v>
      </c>
      <c r="Z23">
        <v>1.70603524885587E-4</v>
      </c>
      <c r="AA23">
        <v>1.8551285108521301E-3</v>
      </c>
      <c r="AB23">
        <v>1.2467115989105201E-3</v>
      </c>
      <c r="AC23">
        <v>0</v>
      </c>
      <c r="AD23">
        <v>3.0897262314848803E-5</v>
      </c>
      <c r="AE23">
        <v>2.4346806267986701E-3</v>
      </c>
      <c r="AF23">
        <v>0</v>
      </c>
      <c r="AG23">
        <v>0</v>
      </c>
      <c r="AH23">
        <v>0</v>
      </c>
      <c r="AI23">
        <v>3.9141998864041999E-5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3.30839228955342E-5</v>
      </c>
      <c r="AP23">
        <v>2.2196883364074999E-5</v>
      </c>
      <c r="AQ23">
        <v>0</v>
      </c>
      <c r="AR23">
        <v>0</v>
      </c>
      <c r="AS23">
        <v>0</v>
      </c>
      <c r="AT23">
        <v>7.9432274771817704E-3</v>
      </c>
      <c r="AU23">
        <v>0</v>
      </c>
      <c r="AV23">
        <v>0</v>
      </c>
      <c r="AW23">
        <v>2.3424374350650601E-5</v>
      </c>
      <c r="AX23">
        <v>0</v>
      </c>
      <c r="AY23">
        <v>5.6733816544293803E-5</v>
      </c>
      <c r="AZ23">
        <v>0</v>
      </c>
      <c r="BA23">
        <v>0</v>
      </c>
      <c r="BB23">
        <v>0</v>
      </c>
      <c r="BC23">
        <v>3.1110930452648601E-4</v>
      </c>
      <c r="BD23">
        <v>0</v>
      </c>
      <c r="BE23">
        <v>2.89983975853454E-5</v>
      </c>
      <c r="BF23">
        <v>2.9672558859815799E-5</v>
      </c>
      <c r="BG23">
        <v>0</v>
      </c>
      <c r="BH23">
        <v>0</v>
      </c>
      <c r="BI23">
        <v>0</v>
      </c>
      <c r="BJ23">
        <v>8.5813575970295299E-4</v>
      </c>
      <c r="BK23">
        <v>0</v>
      </c>
      <c r="BL23">
        <v>2.50084629331158E-5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6.0916227508593898E-5</v>
      </c>
      <c r="BV23">
        <v>0</v>
      </c>
      <c r="BW23">
        <v>0</v>
      </c>
      <c r="BX23">
        <v>0</v>
      </c>
      <c r="BY23">
        <v>0</v>
      </c>
      <c r="BZ23">
        <v>2.4616822830052401E-5</v>
      </c>
      <c r="CA23">
        <v>0</v>
      </c>
      <c r="CB23">
        <v>0</v>
      </c>
      <c r="CC23">
        <v>0</v>
      </c>
      <c r="CD23">
        <v>0</v>
      </c>
      <c r="CE23">
        <v>2.88081254779718E-5</v>
      </c>
      <c r="CF23">
        <v>0</v>
      </c>
      <c r="CG23">
        <v>0</v>
      </c>
      <c r="CH23">
        <v>0</v>
      </c>
      <c r="CI23">
        <v>0</v>
      </c>
      <c r="CJ23">
        <f>MAX(E23:CI23)</f>
        <v>7.9432274771817704E-3</v>
      </c>
    </row>
    <row r="24" spans="1:88" x14ac:dyDescent="0.2">
      <c r="A24" t="s">
        <v>112</v>
      </c>
      <c r="B24" t="s">
        <v>112</v>
      </c>
      <c r="C24" t="s">
        <v>88</v>
      </c>
      <c r="D24" t="s">
        <v>89</v>
      </c>
      <c r="E24">
        <v>2.00593566463768E-4</v>
      </c>
      <c r="F24">
        <v>2.7498689675328601E-4</v>
      </c>
      <c r="G24">
        <v>8.2178081847964602E-5</v>
      </c>
      <c r="H24">
        <v>9.846525274366301E-4</v>
      </c>
      <c r="I24">
        <v>6.5107646975466702E-5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6.9335555601061794E-5</v>
      </c>
      <c r="Q24">
        <v>2.0324927260411099E-4</v>
      </c>
      <c r="R24">
        <v>2.6118305655368199E-5</v>
      </c>
      <c r="S24">
        <v>0</v>
      </c>
      <c r="T24">
        <v>1.38434392753061E-4</v>
      </c>
      <c r="U24">
        <v>0</v>
      </c>
      <c r="V24">
        <v>1.7060706038442001E-4</v>
      </c>
      <c r="W24">
        <v>8.0968855399505705E-5</v>
      </c>
      <c r="X24">
        <v>1.1627490677978199E-5</v>
      </c>
      <c r="Y24">
        <v>0</v>
      </c>
      <c r="Z24">
        <v>8.3039170070774997E-5</v>
      </c>
      <c r="AA24">
        <v>0</v>
      </c>
      <c r="AB24">
        <v>5.5833004648406001E-5</v>
      </c>
      <c r="AC24">
        <v>0</v>
      </c>
      <c r="AD24">
        <v>0</v>
      </c>
      <c r="AE24">
        <v>3.6012228739743999E-4</v>
      </c>
      <c r="AF24">
        <v>0</v>
      </c>
      <c r="AG24">
        <v>0</v>
      </c>
      <c r="AH24">
        <v>0</v>
      </c>
      <c r="AI24">
        <v>4.3554396456856802E-5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1.8717679213604899E-5</v>
      </c>
      <c r="AS24">
        <v>0</v>
      </c>
      <c r="AT24">
        <v>1.2266142338183099E-4</v>
      </c>
      <c r="AU24">
        <v>1.56450876291294E-5</v>
      </c>
      <c r="AV24">
        <v>0</v>
      </c>
      <c r="AW24">
        <v>0</v>
      </c>
      <c r="AX24">
        <v>0</v>
      </c>
      <c r="AY24">
        <v>0</v>
      </c>
      <c r="AZ24">
        <v>1.4647213097049E-5</v>
      </c>
      <c r="BA24">
        <v>1.98892771710123E-5</v>
      </c>
      <c r="BB24">
        <v>0</v>
      </c>
      <c r="BC24">
        <v>0</v>
      </c>
      <c r="BD24">
        <v>3.8870936140281198E-5</v>
      </c>
      <c r="BE24">
        <v>0</v>
      </c>
      <c r="BF24">
        <v>8.7739064597642795E-5</v>
      </c>
      <c r="BG24">
        <v>2.1414157866649801E-5</v>
      </c>
      <c r="BH24">
        <v>0</v>
      </c>
      <c r="BI24">
        <v>0</v>
      </c>
      <c r="BJ24">
        <v>2.3721491935779901E-4</v>
      </c>
      <c r="BK24">
        <v>3.8234199332399897E-5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5.3708868120759498E-5</v>
      </c>
      <c r="BV24">
        <v>0</v>
      </c>
      <c r="BW24">
        <v>0</v>
      </c>
      <c r="BX24">
        <v>0</v>
      </c>
      <c r="BY24">
        <v>2.8675301969530899E-5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1.4430088678168399E-5</v>
      </c>
      <c r="CH24">
        <v>0</v>
      </c>
      <c r="CI24">
        <v>0</v>
      </c>
      <c r="CJ24">
        <f>MAX(E24:CI24)</f>
        <v>9.846525274366301E-4</v>
      </c>
    </row>
    <row r="25" spans="1:88" x14ac:dyDescent="0.2">
      <c r="A25" t="s">
        <v>113</v>
      </c>
      <c r="B25" t="s">
        <v>113</v>
      </c>
      <c r="C25" t="s">
        <v>88</v>
      </c>
      <c r="D25" t="s">
        <v>89</v>
      </c>
      <c r="E25">
        <v>9.4041597944560899E-3</v>
      </c>
      <c r="F25">
        <v>1.14957153097618E-2</v>
      </c>
      <c r="G25">
        <v>2.74196558775134E-2</v>
      </c>
      <c r="H25">
        <v>4.2522912227918102E-3</v>
      </c>
      <c r="I25">
        <v>1.1786259532650201E-3</v>
      </c>
      <c r="J25">
        <v>4.3634298671581103E-3</v>
      </c>
      <c r="K25">
        <v>3.12067829247436E-2</v>
      </c>
      <c r="L25">
        <v>7.9245388705514504E-3</v>
      </c>
      <c r="M25">
        <v>6.4017395320110403E-3</v>
      </c>
      <c r="N25">
        <v>0</v>
      </c>
      <c r="O25">
        <v>3.36210289027332E-3</v>
      </c>
      <c r="P25">
        <v>9.5990222865507992E-3</v>
      </c>
      <c r="Q25">
        <v>4.3272600974101402E-3</v>
      </c>
      <c r="R25">
        <v>1.1375251305487499E-2</v>
      </c>
      <c r="S25">
        <v>6.3471388639817997E-3</v>
      </c>
      <c r="T25">
        <v>5.4632868027651299E-3</v>
      </c>
      <c r="U25">
        <v>1.6226916448160301E-2</v>
      </c>
      <c r="V25">
        <v>5.6299041372608596E-3</v>
      </c>
      <c r="W25">
        <v>4.3442719087477101E-3</v>
      </c>
      <c r="X25">
        <v>0</v>
      </c>
      <c r="Y25">
        <v>1.0919455933451E-2</v>
      </c>
      <c r="Z25">
        <v>1.1173777007616899E-2</v>
      </c>
      <c r="AA25">
        <v>1.82998698075428E-2</v>
      </c>
      <c r="AB25">
        <v>0</v>
      </c>
      <c r="AC25">
        <v>3.0652789301451901E-2</v>
      </c>
      <c r="AD25">
        <v>1.9037284490996498E-2</v>
      </c>
      <c r="AE25">
        <v>0</v>
      </c>
      <c r="AF25">
        <v>2.16243469127788E-2</v>
      </c>
      <c r="AG25">
        <v>1.00219677297144E-2</v>
      </c>
      <c r="AH25">
        <v>1.0236629855668899E-2</v>
      </c>
      <c r="AI25">
        <v>8.2451773204398598E-3</v>
      </c>
      <c r="AJ25">
        <v>0</v>
      </c>
      <c r="AK25">
        <v>1.17546039244275E-2</v>
      </c>
      <c r="AL25">
        <v>9.8899933595860499E-3</v>
      </c>
      <c r="AM25">
        <v>1.0966094901894E-2</v>
      </c>
      <c r="AN25">
        <v>0</v>
      </c>
      <c r="AO25">
        <v>2.54132377815239E-3</v>
      </c>
      <c r="AP25">
        <v>6.9564072653391902E-3</v>
      </c>
      <c r="AQ25">
        <v>8.3623626954146702E-3</v>
      </c>
      <c r="AR25">
        <v>5.9968198164889897E-3</v>
      </c>
      <c r="AS25">
        <v>1.6251258558008699E-2</v>
      </c>
      <c r="AT25">
        <v>3.1674006389974E-3</v>
      </c>
      <c r="AU25">
        <v>2.4874250291279799E-2</v>
      </c>
      <c r="AV25">
        <v>1.32173685520523E-2</v>
      </c>
      <c r="AW25">
        <v>1.7903997147845001E-2</v>
      </c>
      <c r="AX25">
        <v>1.47454829055677E-2</v>
      </c>
      <c r="AY25">
        <v>1.6396154424677199E-2</v>
      </c>
      <c r="AZ25">
        <v>2.5576787780394499E-2</v>
      </c>
      <c r="BA25">
        <v>2.6243091822472E-2</v>
      </c>
      <c r="BB25">
        <v>1.72988008917884E-2</v>
      </c>
      <c r="BC25">
        <v>1.6388454510933698E-2</v>
      </c>
      <c r="BD25">
        <v>2.69695686237242E-2</v>
      </c>
      <c r="BE25">
        <v>1.08635558142651E-2</v>
      </c>
      <c r="BF25">
        <v>1.6742256836966399E-2</v>
      </c>
      <c r="BG25">
        <v>9.9750021967150408E-6</v>
      </c>
      <c r="BH25">
        <v>3.4513022931218003E-2</v>
      </c>
      <c r="BI25">
        <v>2.1580176879127201E-2</v>
      </c>
      <c r="BJ25">
        <v>1.5852983222415701E-2</v>
      </c>
      <c r="BK25">
        <v>1.08563540950569E-2</v>
      </c>
      <c r="BL25">
        <v>1.5883675282693101E-2</v>
      </c>
      <c r="BM25">
        <v>1.09190787953172E-2</v>
      </c>
      <c r="BN25">
        <v>1.40832536069987E-2</v>
      </c>
      <c r="BO25">
        <v>1.5208941870597299E-2</v>
      </c>
      <c r="BP25">
        <v>1.0737545075933301E-2</v>
      </c>
      <c r="BQ25">
        <v>1.2816280384585E-2</v>
      </c>
      <c r="BR25">
        <v>3.4288935290610903E-2</v>
      </c>
      <c r="BS25">
        <v>8.9951000863421407E-3</v>
      </c>
      <c r="BT25">
        <v>7.1694526362323097E-3</v>
      </c>
      <c r="BU25">
        <v>4.1851497286239901E-3</v>
      </c>
      <c r="BV25">
        <v>2.3518304010716599E-3</v>
      </c>
      <c r="BW25">
        <v>1.6953485532615699E-2</v>
      </c>
      <c r="BX25">
        <v>1.4289531824371199E-2</v>
      </c>
      <c r="BY25">
        <v>3.25451292018835E-5</v>
      </c>
      <c r="BZ25">
        <v>1.19525893805248E-2</v>
      </c>
      <c r="CA25">
        <v>1.6525438794947601E-2</v>
      </c>
      <c r="CB25">
        <v>1.3689229358078901E-2</v>
      </c>
      <c r="CC25">
        <v>2.3387995413608299E-2</v>
      </c>
      <c r="CD25">
        <v>8.0086810869224399E-3</v>
      </c>
      <c r="CE25">
        <v>0</v>
      </c>
      <c r="CF25">
        <v>3.8043196457620901E-2</v>
      </c>
      <c r="CG25">
        <v>3.6316333863263398E-2</v>
      </c>
      <c r="CH25">
        <v>1.40331445909474E-2</v>
      </c>
      <c r="CI25">
        <v>1.15862794751395E-2</v>
      </c>
      <c r="CJ25">
        <f>MAX(E25:CI25)</f>
        <v>3.8043196457620901E-2</v>
      </c>
    </row>
    <row r="26" spans="1:88" x14ac:dyDescent="0.2">
      <c r="A26" t="s">
        <v>114</v>
      </c>
      <c r="B26" t="s">
        <v>114</v>
      </c>
      <c r="C26" t="s">
        <v>88</v>
      </c>
      <c r="D26" t="s">
        <v>89</v>
      </c>
      <c r="E26">
        <v>0</v>
      </c>
      <c r="F26">
        <v>0</v>
      </c>
      <c r="G26">
        <v>1.0566763807276399E-5</v>
      </c>
      <c r="H26">
        <v>7.4601919161524101E-5</v>
      </c>
      <c r="I26">
        <v>0</v>
      </c>
      <c r="J26">
        <v>0</v>
      </c>
      <c r="K26">
        <v>1.97600027184971E-5</v>
      </c>
      <c r="L26">
        <v>2.54534115756403E-5</v>
      </c>
      <c r="M26">
        <v>9.0465710832462098E-6</v>
      </c>
      <c r="N26">
        <v>0</v>
      </c>
      <c r="O26">
        <v>0</v>
      </c>
      <c r="P26">
        <v>0</v>
      </c>
      <c r="Q26">
        <v>1.5000543682808901E-4</v>
      </c>
      <c r="R26">
        <v>0</v>
      </c>
      <c r="S26">
        <v>4.01447723968134E-5</v>
      </c>
      <c r="T26">
        <v>0</v>
      </c>
      <c r="U26">
        <v>0</v>
      </c>
      <c r="V26">
        <v>0</v>
      </c>
      <c r="W26">
        <v>1.3134876690242499E-4</v>
      </c>
      <c r="X26">
        <v>0</v>
      </c>
      <c r="Y26">
        <v>0</v>
      </c>
      <c r="Z26">
        <v>5.8833542632367998E-5</v>
      </c>
      <c r="AA26">
        <v>2.5268764040964301E-5</v>
      </c>
      <c r="AB26">
        <v>0</v>
      </c>
      <c r="AC26">
        <v>0</v>
      </c>
      <c r="AD26">
        <v>0</v>
      </c>
      <c r="AE26">
        <v>0</v>
      </c>
      <c r="AF26">
        <v>2.85815646610906E-5</v>
      </c>
      <c r="AG26">
        <v>0</v>
      </c>
      <c r="AH26">
        <v>0</v>
      </c>
      <c r="AI26">
        <v>0</v>
      </c>
      <c r="AJ26">
        <v>2.9355737799511301E-5</v>
      </c>
      <c r="AK26">
        <v>0</v>
      </c>
      <c r="AL26">
        <v>0</v>
      </c>
      <c r="AM26">
        <v>0</v>
      </c>
      <c r="AN26">
        <v>2.4096779299204399E-5</v>
      </c>
      <c r="AO26">
        <v>1.9396349455200602E-5</v>
      </c>
      <c r="AP26">
        <v>9.69297293300566E-6</v>
      </c>
      <c r="AQ26">
        <v>0</v>
      </c>
      <c r="AR26">
        <v>2.6736958379253198E-5</v>
      </c>
      <c r="AS26">
        <v>1.21628121701315E-5</v>
      </c>
      <c r="AT26">
        <v>0</v>
      </c>
      <c r="AU26">
        <v>2.84991560914737E-5</v>
      </c>
      <c r="AV26">
        <v>1.55410372000245E-5</v>
      </c>
      <c r="AW26">
        <v>8.6054780265344604E-5</v>
      </c>
      <c r="AX26">
        <v>3.9162282869169903E-5</v>
      </c>
      <c r="AY26">
        <v>0</v>
      </c>
      <c r="AZ26">
        <v>3.6081036082320097E-5</v>
      </c>
      <c r="BA26">
        <v>3.0726351893256799E-5</v>
      </c>
      <c r="BB26">
        <v>1.8812434463604299E-5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2.7499132905411102E-5</v>
      </c>
      <c r="BM26">
        <v>1.1191234603124499E-5</v>
      </c>
      <c r="BN26">
        <v>1.00336050034357E-5</v>
      </c>
      <c r="BO26">
        <v>0</v>
      </c>
      <c r="BP26">
        <v>4.5698926678238798E-5</v>
      </c>
      <c r="BQ26">
        <v>8.2468292002383394E-6</v>
      </c>
      <c r="BR26">
        <v>6.5687691579056903E-5</v>
      </c>
      <c r="BS26">
        <v>0</v>
      </c>
      <c r="BT26">
        <v>0</v>
      </c>
      <c r="BU26">
        <v>0</v>
      </c>
      <c r="BV26">
        <v>0</v>
      </c>
      <c r="BW26">
        <v>1.6365263411351E-5</v>
      </c>
      <c r="BX26">
        <v>0</v>
      </c>
      <c r="BY26">
        <v>1.34408272715969E-5</v>
      </c>
      <c r="BZ26">
        <v>1.1566927140733801E-5</v>
      </c>
      <c r="CA26">
        <v>0</v>
      </c>
      <c r="CB26">
        <v>4.8101652884809799E-5</v>
      </c>
      <c r="CC26">
        <v>1.9651649065322799E-5</v>
      </c>
      <c r="CD26">
        <v>0</v>
      </c>
      <c r="CE26">
        <v>0</v>
      </c>
      <c r="CF26">
        <v>1.26276053370394E-5</v>
      </c>
      <c r="CG26">
        <v>0</v>
      </c>
      <c r="CH26">
        <v>5.5722423928931001E-5</v>
      </c>
      <c r="CI26">
        <v>0</v>
      </c>
      <c r="CJ26">
        <f>MAX(E26:CI26)</f>
        <v>1.5000543682808901E-4</v>
      </c>
    </row>
    <row r="27" spans="1:88" x14ac:dyDescent="0.2">
      <c r="A27" t="s">
        <v>115</v>
      </c>
      <c r="B27" t="s">
        <v>115</v>
      </c>
      <c r="C27" t="s">
        <v>116</v>
      </c>
      <c r="D27" t="s">
        <v>89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1.42549270783383E-5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6.6408703259685102E-6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f>MAX(E27:CI27)</f>
        <v>1.42549270783383E-5</v>
      </c>
    </row>
    <row r="28" spans="1:88" x14ac:dyDescent="0.2">
      <c r="A28" t="s">
        <v>117</v>
      </c>
      <c r="B28" t="s">
        <v>117</v>
      </c>
      <c r="C28" t="s">
        <v>118</v>
      </c>
      <c r="D28" t="s">
        <v>119</v>
      </c>
      <c r="E28">
        <v>0</v>
      </c>
      <c r="F28">
        <v>0</v>
      </c>
      <c r="G28">
        <v>2.1547703948999399E-5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1.36617394995066E-5</v>
      </c>
      <c r="P28">
        <v>0</v>
      </c>
      <c r="Q28">
        <v>0</v>
      </c>
      <c r="R28">
        <v>0</v>
      </c>
      <c r="S28">
        <v>0</v>
      </c>
      <c r="T28">
        <v>3.0575178418555501E-5</v>
      </c>
      <c r="U28">
        <v>1.05968064000621E-5</v>
      </c>
      <c r="V28">
        <v>4.9104127641914998E-5</v>
      </c>
      <c r="W28">
        <v>0</v>
      </c>
      <c r="X28">
        <v>0</v>
      </c>
      <c r="Y28">
        <v>0</v>
      </c>
      <c r="Z28">
        <v>1.18775262798789E-5</v>
      </c>
      <c r="AA28">
        <v>4.41249270099131E-5</v>
      </c>
      <c r="AB28">
        <v>0</v>
      </c>
      <c r="AC28">
        <v>3.17591594716363E-5</v>
      </c>
      <c r="AD28">
        <v>1.3700202928228601E-5</v>
      </c>
      <c r="AE28">
        <v>0</v>
      </c>
      <c r="AF28">
        <v>0</v>
      </c>
      <c r="AG28">
        <v>3.16306415060346E-5</v>
      </c>
      <c r="AH28">
        <v>9.5273473696501702E-6</v>
      </c>
      <c r="AI28">
        <v>0</v>
      </c>
      <c r="AJ28">
        <v>0</v>
      </c>
      <c r="AK28">
        <v>0</v>
      </c>
      <c r="AL28">
        <v>1.2763447607891E-5</v>
      </c>
      <c r="AM28">
        <v>0</v>
      </c>
      <c r="AN28">
        <v>0</v>
      </c>
      <c r="AO28">
        <v>0</v>
      </c>
      <c r="AP28">
        <v>1.09118402685549E-5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1.6298588687460099E-5</v>
      </c>
      <c r="AY28">
        <v>1.2717595278764401E-5</v>
      </c>
      <c r="AZ28">
        <v>3.1612729847488003E-5</v>
      </c>
      <c r="BA28">
        <v>4.32599486907004E-5</v>
      </c>
      <c r="BB28">
        <v>1.7523828732887E-5</v>
      </c>
      <c r="BC28">
        <v>0</v>
      </c>
      <c r="BD28">
        <v>0</v>
      </c>
      <c r="BE28">
        <v>8.20024824650078E-6</v>
      </c>
      <c r="BF28">
        <v>0</v>
      </c>
      <c r="BG28">
        <v>0</v>
      </c>
      <c r="BH28">
        <v>0</v>
      </c>
      <c r="BI28">
        <v>3.0914127943746102E-5</v>
      </c>
      <c r="BJ28">
        <v>2.2370052328053699E-5</v>
      </c>
      <c r="BK28">
        <v>0</v>
      </c>
      <c r="BL28">
        <v>4.8632545300189698E-5</v>
      </c>
      <c r="BM28">
        <v>1.3841845582202701E-5</v>
      </c>
      <c r="BN28">
        <v>2.78996014913738E-5</v>
      </c>
      <c r="BO28">
        <v>2.3860415384170899E-5</v>
      </c>
      <c r="BP28">
        <v>1.67452640437472E-5</v>
      </c>
      <c r="BQ28">
        <v>9.5642077252913495E-6</v>
      </c>
      <c r="BR28">
        <v>4.71447134067304E-5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2.22346347676236E-5</v>
      </c>
      <c r="CA28">
        <v>1.0765916323429401E-5</v>
      </c>
      <c r="CB28">
        <v>0</v>
      </c>
      <c r="CC28">
        <v>0</v>
      </c>
      <c r="CD28">
        <v>0</v>
      </c>
      <c r="CE28">
        <v>0</v>
      </c>
      <c r="CF28">
        <v>2.0767632978322199E-5</v>
      </c>
      <c r="CG28">
        <v>1.9104998151308201E-5</v>
      </c>
      <c r="CH28">
        <v>0</v>
      </c>
      <c r="CI28">
        <v>0</v>
      </c>
      <c r="CJ28">
        <f>MAX(E28:CI28)</f>
        <v>4.9104127641914998E-5</v>
      </c>
    </row>
    <row r="29" spans="1:88" x14ac:dyDescent="0.2">
      <c r="A29" t="s">
        <v>120</v>
      </c>
      <c r="B29" t="s">
        <v>120</v>
      </c>
      <c r="C29" t="s">
        <v>118</v>
      </c>
      <c r="D29" t="s">
        <v>119</v>
      </c>
      <c r="E29">
        <v>0</v>
      </c>
      <c r="F29">
        <v>0</v>
      </c>
      <c r="G29">
        <v>4.3183317165264903E-6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1.9066500975668701E-5</v>
      </c>
      <c r="AO29">
        <v>0</v>
      </c>
      <c r="AP29">
        <v>6.9113836298236602E-6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2.06446250700998E-5</v>
      </c>
      <c r="BA29">
        <v>9.8665881429615892E-6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1.5937199165290498E-5</v>
      </c>
      <c r="BQ29">
        <v>1.10881987032123E-5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1.6944119278511001E-5</v>
      </c>
      <c r="CJ29">
        <f>MAX(E29:CI29)</f>
        <v>2.06446250700998E-5</v>
      </c>
    </row>
    <row r="30" spans="1:88" x14ac:dyDescent="0.2">
      <c r="A30" t="s">
        <v>121</v>
      </c>
      <c r="B30" t="s">
        <v>122</v>
      </c>
      <c r="C30" t="s">
        <v>118</v>
      </c>
      <c r="D30" t="s">
        <v>119</v>
      </c>
      <c r="E30">
        <v>0</v>
      </c>
      <c r="F30">
        <v>9.0024973043294706E-6</v>
      </c>
      <c r="G30">
        <v>0</v>
      </c>
      <c r="H30">
        <v>0</v>
      </c>
      <c r="I30">
        <v>0</v>
      </c>
      <c r="J30">
        <v>0</v>
      </c>
      <c r="K30">
        <v>1.6749891570478098E-5</v>
      </c>
      <c r="L30">
        <v>0</v>
      </c>
      <c r="M30">
        <v>0</v>
      </c>
      <c r="N30">
        <v>0</v>
      </c>
      <c r="O30">
        <v>0</v>
      </c>
      <c r="P30">
        <v>7.7861721210836903E-6</v>
      </c>
      <c r="Q30">
        <v>0</v>
      </c>
      <c r="R30">
        <v>0</v>
      </c>
      <c r="S30">
        <v>8.3206451293642006E-6</v>
      </c>
      <c r="T30">
        <v>2.4725552225579298E-5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2.11921002626942E-5</v>
      </c>
      <c r="AB30">
        <v>0</v>
      </c>
      <c r="AC30">
        <v>0</v>
      </c>
      <c r="AD30">
        <v>0</v>
      </c>
      <c r="AE30">
        <v>0</v>
      </c>
      <c r="AF30">
        <v>8.2712471879368496E-6</v>
      </c>
      <c r="AG30">
        <v>1.28502329304103E-5</v>
      </c>
      <c r="AH30">
        <v>0</v>
      </c>
      <c r="AI30">
        <v>0</v>
      </c>
      <c r="AJ30">
        <v>0</v>
      </c>
      <c r="AK30">
        <v>0</v>
      </c>
      <c r="AL30">
        <v>3.1151000515769997E-5</v>
      </c>
      <c r="AM30">
        <v>1.41276849014058E-5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1.6779538038833501E-5</v>
      </c>
      <c r="AU30">
        <v>0</v>
      </c>
      <c r="AV30">
        <v>0</v>
      </c>
      <c r="AW30">
        <v>3.9314340975069201E-5</v>
      </c>
      <c r="AX30">
        <v>1.58973962733914E-5</v>
      </c>
      <c r="AY30">
        <v>0</v>
      </c>
      <c r="AZ30">
        <v>0</v>
      </c>
      <c r="BA30">
        <v>0</v>
      </c>
      <c r="BB30">
        <v>3.2988988536292601E-5</v>
      </c>
      <c r="BC30">
        <v>2.7508822433404699E-5</v>
      </c>
      <c r="BD30">
        <v>0</v>
      </c>
      <c r="BE30">
        <v>2.2849673563290901E-5</v>
      </c>
      <c r="BF30">
        <v>0</v>
      </c>
      <c r="BG30">
        <v>0</v>
      </c>
      <c r="BH30">
        <v>7.3321611239658306E-5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1.4302369704325299E-5</v>
      </c>
      <c r="BP30">
        <v>1.18837634923803E-5</v>
      </c>
      <c r="BQ30">
        <v>1.10174223927084E-5</v>
      </c>
      <c r="BR30">
        <v>3.2303010606144197E-5</v>
      </c>
      <c r="BS30">
        <v>2.8219999388006899E-5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1.3728528827663E-5</v>
      </c>
      <c r="CC30">
        <v>9.1748717029766104E-5</v>
      </c>
      <c r="CD30">
        <v>0</v>
      </c>
      <c r="CE30">
        <v>1.1043481296979001E-5</v>
      </c>
      <c r="CF30">
        <v>1.40249073195454E-5</v>
      </c>
      <c r="CG30">
        <v>0</v>
      </c>
      <c r="CH30">
        <v>0</v>
      </c>
      <c r="CI30">
        <v>4.21185100947652E-5</v>
      </c>
      <c r="CJ30">
        <f>MAX(E30:CI30)</f>
        <v>9.1748717029766104E-5</v>
      </c>
    </row>
    <row r="31" spans="1:88" x14ac:dyDescent="0.2">
      <c r="A31" t="s">
        <v>123</v>
      </c>
      <c r="B31" t="s">
        <v>123</v>
      </c>
      <c r="C31" t="s">
        <v>118</v>
      </c>
      <c r="D31" t="s">
        <v>124</v>
      </c>
      <c r="E31">
        <v>0</v>
      </c>
      <c r="F31">
        <v>0</v>
      </c>
      <c r="G31">
        <v>0</v>
      </c>
      <c r="H31">
        <v>0</v>
      </c>
      <c r="I31">
        <v>0</v>
      </c>
      <c r="J31">
        <v>1.30934170139598E-5</v>
      </c>
      <c r="K31">
        <v>1.19249618958065E-5</v>
      </c>
      <c r="L31">
        <v>0</v>
      </c>
      <c r="M31">
        <v>0</v>
      </c>
      <c r="N31">
        <v>0</v>
      </c>
      <c r="O31">
        <v>4.0388153669361897E-5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1.04055969514445E-5</v>
      </c>
      <c r="AB31">
        <v>0</v>
      </c>
      <c r="AC31">
        <v>2.04841053146326E-5</v>
      </c>
      <c r="AD31">
        <v>0</v>
      </c>
      <c r="AE31">
        <v>2.7699504481016101E-5</v>
      </c>
      <c r="AF31">
        <v>9.0161888558832005E-6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2.0418413753470599E-5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1.37287184956081E-5</v>
      </c>
      <c r="AV31">
        <v>0</v>
      </c>
      <c r="AW31">
        <v>3.9357816811704397E-5</v>
      </c>
      <c r="AX31">
        <v>2.75240285716997E-5</v>
      </c>
      <c r="AY31">
        <v>1.37293823540519E-5</v>
      </c>
      <c r="AZ31">
        <v>1.61057517239566E-5</v>
      </c>
      <c r="BA31">
        <v>0</v>
      </c>
      <c r="BB31">
        <v>9.6664275444741507E-6</v>
      </c>
      <c r="BC31">
        <v>0</v>
      </c>
      <c r="BD31">
        <v>2.5582442107416801E-5</v>
      </c>
      <c r="BE31">
        <v>0</v>
      </c>
      <c r="BF31">
        <v>3.4475375092275102E-5</v>
      </c>
      <c r="BG31">
        <v>0</v>
      </c>
      <c r="BH31">
        <v>1.45741421119592E-5</v>
      </c>
      <c r="BI31">
        <v>0</v>
      </c>
      <c r="BJ31">
        <v>6.9965026022805896E-6</v>
      </c>
      <c r="BK31">
        <v>0</v>
      </c>
      <c r="BL31">
        <v>0</v>
      </c>
      <c r="BM31">
        <v>1.21816467095797E-5</v>
      </c>
      <c r="BN31">
        <v>0</v>
      </c>
      <c r="BO31">
        <v>0</v>
      </c>
      <c r="BP31">
        <v>1.15833985667698E-5</v>
      </c>
      <c r="BQ31">
        <v>1.57278732301316E-5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1.01212464510105E-5</v>
      </c>
      <c r="CA31">
        <v>0</v>
      </c>
      <c r="CB31">
        <v>3.68561528197583E-5</v>
      </c>
      <c r="CC31">
        <v>1.22498282592526E-5</v>
      </c>
      <c r="CD31">
        <v>7.5932552659429302E-6</v>
      </c>
      <c r="CE31">
        <v>2.14405044906217E-5</v>
      </c>
      <c r="CF31">
        <v>4.1188881625000698E-5</v>
      </c>
      <c r="CG31">
        <v>1.3152127185796499E-4</v>
      </c>
      <c r="CH31">
        <v>0</v>
      </c>
      <c r="CI31">
        <v>0</v>
      </c>
      <c r="CJ31">
        <f>MAX(E31:CI31)</f>
        <v>1.3152127185796499E-4</v>
      </c>
    </row>
    <row r="32" spans="1:88" x14ac:dyDescent="0.2">
      <c r="A32" t="s">
        <v>125</v>
      </c>
      <c r="B32" t="s">
        <v>126</v>
      </c>
      <c r="C32" t="s">
        <v>116</v>
      </c>
      <c r="D32" t="s">
        <v>89</v>
      </c>
      <c r="E32">
        <v>3.4062223950913698E-4</v>
      </c>
      <c r="F32">
        <v>5.10488543503815E-4</v>
      </c>
      <c r="G32">
        <v>3.9602353858437899E-4</v>
      </c>
      <c r="H32">
        <v>0</v>
      </c>
      <c r="I32">
        <v>0</v>
      </c>
      <c r="J32">
        <v>2.3211542391861299E-4</v>
      </c>
      <c r="K32">
        <v>0</v>
      </c>
      <c r="L32">
        <v>2.10201591558125E-4</v>
      </c>
      <c r="M32">
        <v>1.73954633012817E-4</v>
      </c>
      <c r="N32">
        <v>1.8901488221927199E-4</v>
      </c>
      <c r="O32">
        <v>0</v>
      </c>
      <c r="P32">
        <v>1.7153115028641501E-4</v>
      </c>
      <c r="Q32">
        <v>1.13389802800153E-4</v>
      </c>
      <c r="R32">
        <v>1.7903213880917E-4</v>
      </c>
      <c r="S32">
        <v>0</v>
      </c>
      <c r="T32">
        <v>1.8861967838342599E-4</v>
      </c>
      <c r="U32">
        <v>3.4876026581634299E-4</v>
      </c>
      <c r="V32">
        <v>3.7548621704021302E-4</v>
      </c>
      <c r="W32">
        <v>1.6268743052886899E-4</v>
      </c>
      <c r="X32">
        <v>9.5157494822616594E-5</v>
      </c>
      <c r="Y32">
        <v>2.5746903187493501E-4</v>
      </c>
      <c r="Z32">
        <v>3.5895499409927602E-4</v>
      </c>
      <c r="AA32">
        <v>1.66944839905903E-3</v>
      </c>
      <c r="AB32">
        <v>4.08425641640423E-4</v>
      </c>
      <c r="AC32">
        <v>4.82279719890275E-4</v>
      </c>
      <c r="AD32">
        <v>4.7349238630766001E-4</v>
      </c>
      <c r="AE32">
        <v>0</v>
      </c>
      <c r="AF32">
        <v>7.5148445271580697E-4</v>
      </c>
      <c r="AG32">
        <v>4.39186518181282E-4</v>
      </c>
      <c r="AH32">
        <v>0</v>
      </c>
      <c r="AI32">
        <v>0</v>
      </c>
      <c r="AJ32">
        <v>2.7917466263956402E-4</v>
      </c>
      <c r="AK32">
        <v>3.9790188815569199E-4</v>
      </c>
      <c r="AL32">
        <v>5.9889267320493099E-4</v>
      </c>
      <c r="AM32">
        <v>3.5736169551997597E-4</v>
      </c>
      <c r="AN32">
        <v>5.8022575191052795E-4</v>
      </c>
      <c r="AO32">
        <v>3.3617855026073402E-4</v>
      </c>
      <c r="AP32">
        <v>1.5026263488151199E-4</v>
      </c>
      <c r="AQ32">
        <v>0</v>
      </c>
      <c r="AR32">
        <v>0</v>
      </c>
      <c r="AS32">
        <v>1.28874205231067E-3</v>
      </c>
      <c r="AT32">
        <v>8.1221498917956794E-5</v>
      </c>
      <c r="AU32">
        <v>0</v>
      </c>
      <c r="AV32">
        <v>0</v>
      </c>
      <c r="AW32">
        <v>8.8715805479252E-4</v>
      </c>
      <c r="AX32">
        <v>6.7257388449612802E-4</v>
      </c>
      <c r="AY32">
        <v>9.7338578575613497E-4</v>
      </c>
      <c r="AZ32">
        <v>4.0844539124858302E-4</v>
      </c>
      <c r="BA32">
        <v>1.0628941089526099E-3</v>
      </c>
      <c r="BB32">
        <v>8.7968867306578203E-4</v>
      </c>
      <c r="BC32">
        <v>4.90172564890152E-4</v>
      </c>
      <c r="BD32">
        <v>8.21920854709199E-4</v>
      </c>
      <c r="BE32">
        <v>4.4472137111443299E-4</v>
      </c>
      <c r="BF32">
        <v>5.0361655743608495E-4</v>
      </c>
      <c r="BG32">
        <v>0</v>
      </c>
      <c r="BH32">
        <v>1.26990139420765E-3</v>
      </c>
      <c r="BI32">
        <v>5.2226629608945999E-4</v>
      </c>
      <c r="BJ32">
        <v>0</v>
      </c>
      <c r="BK32">
        <v>4.2187131822827602E-4</v>
      </c>
      <c r="BL32">
        <v>0</v>
      </c>
      <c r="BM32">
        <v>4.1932330486770002E-4</v>
      </c>
      <c r="BN32">
        <v>7.62696933030351E-4</v>
      </c>
      <c r="BO32">
        <v>6.3579044965940401E-4</v>
      </c>
      <c r="BP32">
        <v>9.9719249204383497E-4</v>
      </c>
      <c r="BQ32">
        <v>3.2572718046955601E-4</v>
      </c>
      <c r="BR32">
        <v>8.06493738613421E-4</v>
      </c>
      <c r="BS32">
        <v>0</v>
      </c>
      <c r="BT32">
        <v>3.3828675958506502E-4</v>
      </c>
      <c r="BU32">
        <v>2.89518953303368E-4</v>
      </c>
      <c r="BV32">
        <v>6.7280777260274893E-5</v>
      </c>
      <c r="BW32">
        <v>3.8129929298994398E-4</v>
      </c>
      <c r="BX32">
        <v>3.45103210851284E-4</v>
      </c>
      <c r="BY32">
        <v>3.7709780110635699E-4</v>
      </c>
      <c r="BZ32">
        <v>3.15369725433237E-4</v>
      </c>
      <c r="CA32">
        <v>4.3423917412476197E-4</v>
      </c>
      <c r="CB32">
        <v>9.0570966039848805E-4</v>
      </c>
      <c r="CC32">
        <v>7.4477141555143503E-4</v>
      </c>
      <c r="CD32">
        <v>3.4551348335892698E-4</v>
      </c>
      <c r="CE32">
        <v>6.7663272750343004E-4</v>
      </c>
      <c r="CF32">
        <v>8.9388160476210803E-4</v>
      </c>
      <c r="CG32">
        <v>9.3265495094910504E-4</v>
      </c>
      <c r="CH32">
        <v>7.7829098497501903E-4</v>
      </c>
      <c r="CI32">
        <v>4.6361448880016099E-4</v>
      </c>
      <c r="CJ32">
        <f>MAX(E32:CI32)</f>
        <v>1.66944839905903E-3</v>
      </c>
    </row>
    <row r="33" spans="1:88" x14ac:dyDescent="0.2">
      <c r="A33" t="s">
        <v>127</v>
      </c>
      <c r="B33" t="s">
        <v>128</v>
      </c>
      <c r="C33" t="s">
        <v>116</v>
      </c>
      <c r="D33" t="s">
        <v>89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4.4774938705961603E-5</v>
      </c>
      <c r="CH33">
        <v>2.3703037303333901E-5</v>
      </c>
      <c r="CI33">
        <v>0</v>
      </c>
      <c r="CJ33">
        <f>MAX(E33:CI33)</f>
        <v>4.4774938705961603E-5</v>
      </c>
    </row>
    <row r="34" spans="1:88" x14ac:dyDescent="0.2">
      <c r="A34" t="s">
        <v>129</v>
      </c>
      <c r="B34" t="s">
        <v>129</v>
      </c>
      <c r="C34" t="s">
        <v>118</v>
      </c>
      <c r="D34" t="s">
        <v>119</v>
      </c>
      <c r="E34">
        <v>0</v>
      </c>
      <c r="F34">
        <v>7.8609674863605699E-6</v>
      </c>
      <c r="G34">
        <v>1.0116679695476301E-4</v>
      </c>
      <c r="H34">
        <v>0</v>
      </c>
      <c r="I34">
        <v>0</v>
      </c>
      <c r="J34">
        <v>0</v>
      </c>
      <c r="K34">
        <v>1.31110658914157E-5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1.0345893416740399E-5</v>
      </c>
      <c r="T34">
        <v>1.7651718787018301E-4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1.7814309773356901E-5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3.5344675601614697E-5</v>
      </c>
      <c r="AO34">
        <v>0</v>
      </c>
      <c r="AP34">
        <v>0</v>
      </c>
      <c r="AQ34">
        <v>0</v>
      </c>
      <c r="AR34">
        <v>0</v>
      </c>
      <c r="AS34">
        <v>9.3335530444200506E-6</v>
      </c>
      <c r="AT34">
        <v>0</v>
      </c>
      <c r="AU34">
        <v>0</v>
      </c>
      <c r="AV34">
        <v>0</v>
      </c>
      <c r="AW34">
        <v>0</v>
      </c>
      <c r="AX34">
        <v>1.21555887911514E-5</v>
      </c>
      <c r="AY34">
        <v>1.3518857803693599E-5</v>
      </c>
      <c r="AZ34">
        <v>0</v>
      </c>
      <c r="BA34">
        <v>5.2098113793496098E-5</v>
      </c>
      <c r="BB34">
        <v>1.57587584966329E-5</v>
      </c>
      <c r="BC34">
        <v>0</v>
      </c>
      <c r="BD34">
        <v>1.15065730778564E-4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7.4369009965863896E-6</v>
      </c>
      <c r="BL34">
        <v>1.00068179750586E-5</v>
      </c>
      <c r="BM34">
        <v>0</v>
      </c>
      <c r="BN34">
        <v>3.9097951180817699E-5</v>
      </c>
      <c r="BO34">
        <v>0</v>
      </c>
      <c r="BP34">
        <v>0</v>
      </c>
      <c r="BQ34">
        <v>0</v>
      </c>
      <c r="BR34">
        <v>3.6647723321750399E-5</v>
      </c>
      <c r="BS34">
        <v>0</v>
      </c>
      <c r="BT34">
        <v>0</v>
      </c>
      <c r="BU34">
        <v>7.1834322483141804E-6</v>
      </c>
      <c r="BV34">
        <v>0</v>
      </c>
      <c r="BW34">
        <v>1.0507659716336499E-5</v>
      </c>
      <c r="BX34">
        <v>0</v>
      </c>
      <c r="BY34">
        <v>0</v>
      </c>
      <c r="BZ34">
        <v>0</v>
      </c>
      <c r="CA34">
        <v>0</v>
      </c>
      <c r="CB34">
        <v>1.29838054686444E-5</v>
      </c>
      <c r="CC34">
        <v>1.15781987408598E-5</v>
      </c>
      <c r="CD34">
        <v>0</v>
      </c>
      <c r="CE34">
        <v>1.0676748188674201E-5</v>
      </c>
      <c r="CF34">
        <v>0</v>
      </c>
      <c r="CG34">
        <v>0</v>
      </c>
      <c r="CH34">
        <v>1.9245136687780299E-5</v>
      </c>
      <c r="CI34">
        <v>0</v>
      </c>
      <c r="CJ34">
        <f>MAX(E34:CI34)</f>
        <v>1.7651718787018301E-4</v>
      </c>
    </row>
    <row r="35" spans="1:88" x14ac:dyDescent="0.2">
      <c r="A35" t="s">
        <v>131</v>
      </c>
      <c r="B35" t="s">
        <v>132</v>
      </c>
      <c r="C35" t="s">
        <v>116</v>
      </c>
      <c r="D35" t="s">
        <v>89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3.18230645696864E-5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7.3347446665345906E-5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9.7044963271285499E-6</v>
      </c>
      <c r="BC35">
        <v>0</v>
      </c>
      <c r="BD35">
        <v>2.1055666829074201E-5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f>MAX(E35:CI35)</f>
        <v>7.3347446665345906E-5</v>
      </c>
    </row>
    <row r="36" spans="1:88" x14ac:dyDescent="0.2">
      <c r="A36" t="s">
        <v>133</v>
      </c>
      <c r="B36" t="s">
        <v>133</v>
      </c>
      <c r="C36" t="s">
        <v>88</v>
      </c>
      <c r="D36" t="s">
        <v>89</v>
      </c>
      <c r="E36">
        <v>5.5627046265828999E-5</v>
      </c>
      <c r="F36">
        <v>1.0997931237255701E-4</v>
      </c>
      <c r="G36">
        <v>1.0925466758604501E-4</v>
      </c>
      <c r="H36">
        <v>0</v>
      </c>
      <c r="I36">
        <v>2.4176587464405999E-4</v>
      </c>
      <c r="J36">
        <v>9.2223372540145896E-5</v>
      </c>
      <c r="K36">
        <v>3.3621570814060199E-4</v>
      </c>
      <c r="L36">
        <v>2.4944798492554998E-5</v>
      </c>
      <c r="M36">
        <v>9.3189718531393E-5</v>
      </c>
      <c r="N36">
        <v>3.6607999765925697E-5</v>
      </c>
      <c r="O36">
        <v>0</v>
      </c>
      <c r="P36">
        <v>1.3360170482774701E-4</v>
      </c>
      <c r="Q36">
        <v>0</v>
      </c>
      <c r="R36">
        <v>1.5491697210806099E-4</v>
      </c>
      <c r="S36">
        <v>9.3437239670557902E-5</v>
      </c>
      <c r="T36">
        <v>9.9854582456046606E-5</v>
      </c>
      <c r="U36">
        <v>2.1451565906269599E-4</v>
      </c>
      <c r="V36">
        <v>5.6286079531611599E-5</v>
      </c>
      <c r="W36">
        <v>0</v>
      </c>
      <c r="X36">
        <v>0</v>
      </c>
      <c r="Y36">
        <v>1.16901208276675E-4</v>
      </c>
      <c r="Z36">
        <v>8.1975674735361998E-5</v>
      </c>
      <c r="AA36">
        <v>0</v>
      </c>
      <c r="AB36">
        <v>2.1389912105937001E-5</v>
      </c>
      <c r="AC36">
        <v>1.63443253961899E-4</v>
      </c>
      <c r="AD36">
        <v>0</v>
      </c>
      <c r="AE36">
        <v>8.9139870742340307E-5</v>
      </c>
      <c r="AF36">
        <v>7.2823408126228401E-5</v>
      </c>
      <c r="AG36">
        <v>0</v>
      </c>
      <c r="AH36">
        <v>0</v>
      </c>
      <c r="AI36">
        <v>6.5375345941070105E-5</v>
      </c>
      <c r="AJ36">
        <v>0</v>
      </c>
      <c r="AK36">
        <v>7.1743407511580504E-5</v>
      </c>
      <c r="AL36">
        <v>7.5338852309521004E-5</v>
      </c>
      <c r="AM36">
        <v>7.4972846491001995E-5</v>
      </c>
      <c r="AN36">
        <v>0</v>
      </c>
      <c r="AO36">
        <v>2.3796714488653599E-5</v>
      </c>
      <c r="AP36">
        <v>6.0236260112959401E-5</v>
      </c>
      <c r="AQ36">
        <v>0</v>
      </c>
      <c r="AR36">
        <v>1.66041252218965E-4</v>
      </c>
      <c r="AS36">
        <v>6.8664458581555005E-5</v>
      </c>
      <c r="AT36">
        <v>0</v>
      </c>
      <c r="AU36">
        <v>0</v>
      </c>
      <c r="AV36">
        <v>0</v>
      </c>
      <c r="AW36">
        <v>9.5611471012113999E-5</v>
      </c>
      <c r="AX36">
        <v>0</v>
      </c>
      <c r="AY36">
        <v>1.89422690106946E-4</v>
      </c>
      <c r="AZ36">
        <v>1.98882696679622E-4</v>
      </c>
      <c r="BA36">
        <v>2.0719725620627099E-4</v>
      </c>
      <c r="BB36">
        <v>2.31196896509485E-4</v>
      </c>
      <c r="BC36">
        <v>1.2680196976264601E-4</v>
      </c>
      <c r="BD36">
        <v>0</v>
      </c>
      <c r="BE36">
        <v>6.5706752032814505E-5</v>
      </c>
      <c r="BF36">
        <v>7.1715164675729E-5</v>
      </c>
      <c r="BG36">
        <v>0</v>
      </c>
      <c r="BH36">
        <v>4.5043486621284499E-4</v>
      </c>
      <c r="BI36">
        <v>1.42925592084099E-4</v>
      </c>
      <c r="BJ36">
        <v>1.2579865563932201E-4</v>
      </c>
      <c r="BK36">
        <v>0</v>
      </c>
      <c r="BL36">
        <v>1.3404264840280201E-4</v>
      </c>
      <c r="BM36">
        <v>0</v>
      </c>
      <c r="BN36">
        <v>0</v>
      </c>
      <c r="BO36">
        <v>0</v>
      </c>
      <c r="BP36">
        <v>9.7014578246227E-5</v>
      </c>
      <c r="BQ36">
        <v>0</v>
      </c>
      <c r="BR36">
        <v>2.2297029066515499E-4</v>
      </c>
      <c r="BS36">
        <v>0</v>
      </c>
      <c r="BT36">
        <v>1.1422784932461499E-4</v>
      </c>
      <c r="BU36">
        <v>0</v>
      </c>
      <c r="BV36">
        <v>2.2168075913648301E-5</v>
      </c>
      <c r="BW36">
        <v>1.3292877422082399E-4</v>
      </c>
      <c r="BX36">
        <v>2.9416364617582098E-4</v>
      </c>
      <c r="BY36">
        <v>0</v>
      </c>
      <c r="BZ36">
        <v>0</v>
      </c>
      <c r="CA36">
        <v>0</v>
      </c>
      <c r="CB36">
        <v>0</v>
      </c>
      <c r="CC36">
        <v>2.03596355689426E-4</v>
      </c>
      <c r="CD36">
        <v>5.5677406849387001E-5</v>
      </c>
      <c r="CE36">
        <v>1.36983733891828E-4</v>
      </c>
      <c r="CF36">
        <v>3.2181108530589898E-4</v>
      </c>
      <c r="CG36">
        <v>3.0403669294738799E-4</v>
      </c>
      <c r="CH36">
        <v>2.1935725359033099E-4</v>
      </c>
      <c r="CI36">
        <v>2.0762851604608099E-4</v>
      </c>
      <c r="CJ36">
        <f>MAX(E36:CI36)</f>
        <v>4.5043486621284499E-4</v>
      </c>
    </row>
    <row r="37" spans="1:88" x14ac:dyDescent="0.2">
      <c r="A37" t="s">
        <v>134</v>
      </c>
      <c r="B37" t="s">
        <v>134</v>
      </c>
      <c r="C37" t="s">
        <v>88</v>
      </c>
      <c r="D37" t="s">
        <v>89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4.1192011493770502E-5</v>
      </c>
      <c r="Q37">
        <v>2.3401031434875199E-4</v>
      </c>
      <c r="R37">
        <v>5.9712190051262102E-5</v>
      </c>
      <c r="S37">
        <v>6.3381862945212705E-5</v>
      </c>
      <c r="T37">
        <v>0</v>
      </c>
      <c r="U37">
        <v>0</v>
      </c>
      <c r="V37">
        <v>0</v>
      </c>
      <c r="W37">
        <v>3.1401326893848599E-4</v>
      </c>
      <c r="X37">
        <v>0</v>
      </c>
      <c r="Y37">
        <v>0</v>
      </c>
      <c r="Z37">
        <v>2.6927497857026799E-5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4.5101813002841502E-5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f>MAX(E37:CI37)</f>
        <v>3.1401326893848599E-4</v>
      </c>
    </row>
    <row r="38" spans="1:88" x14ac:dyDescent="0.2">
      <c r="A38" t="s">
        <v>135</v>
      </c>
      <c r="B38" t="s">
        <v>135</v>
      </c>
      <c r="C38" t="s">
        <v>88</v>
      </c>
      <c r="D38" t="s">
        <v>89</v>
      </c>
      <c r="E38">
        <v>0</v>
      </c>
      <c r="F38">
        <v>2.7677126581624302E-5</v>
      </c>
      <c r="G38">
        <v>0</v>
      </c>
      <c r="H38">
        <v>1.7402834897099301E-5</v>
      </c>
      <c r="I38">
        <v>0</v>
      </c>
      <c r="J38">
        <v>0</v>
      </c>
      <c r="K38">
        <v>0</v>
      </c>
      <c r="L38">
        <v>2.7501792435935599E-5</v>
      </c>
      <c r="M38">
        <v>0</v>
      </c>
      <c r="N38">
        <v>0</v>
      </c>
      <c r="O38">
        <v>0</v>
      </c>
      <c r="P38">
        <v>6.0191338358572701E-5</v>
      </c>
      <c r="Q38">
        <v>2.2902452970307298E-5</v>
      </c>
      <c r="R38">
        <v>0</v>
      </c>
      <c r="S38">
        <v>2.7976990797874298E-5</v>
      </c>
      <c r="T38">
        <v>0</v>
      </c>
      <c r="U38">
        <v>6.8930114515470598E-5</v>
      </c>
      <c r="V38">
        <v>0</v>
      </c>
      <c r="W38">
        <v>1.74366881342566E-3</v>
      </c>
      <c r="X38">
        <v>0</v>
      </c>
      <c r="Y38">
        <v>0</v>
      </c>
      <c r="Z38">
        <v>0</v>
      </c>
      <c r="AA38">
        <v>0</v>
      </c>
      <c r="AB38">
        <v>9.3970600038097995E-5</v>
      </c>
      <c r="AC38">
        <v>1.8143538892035398E-5</v>
      </c>
      <c r="AD38">
        <v>0</v>
      </c>
      <c r="AE38">
        <v>5.6003736040502201E-5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4.4189287588130502E-5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2.8677084762665301E-5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1.9072428699458998E-5</v>
      </c>
      <c r="BJ38">
        <v>2.9750755581200601E-5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5.5525311034252202E-5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5.43196546310197E-5</v>
      </c>
      <c r="CI38">
        <v>0</v>
      </c>
      <c r="CJ38">
        <f>MAX(E38:CI38)</f>
        <v>1.74366881342566E-3</v>
      </c>
    </row>
    <row r="39" spans="1:88" x14ac:dyDescent="0.2">
      <c r="A39" t="s">
        <v>136</v>
      </c>
      <c r="B39" t="s">
        <v>136</v>
      </c>
      <c r="C39" t="s">
        <v>88</v>
      </c>
      <c r="D39" t="s">
        <v>89</v>
      </c>
      <c r="E39">
        <v>0</v>
      </c>
      <c r="F39">
        <v>0</v>
      </c>
      <c r="G39">
        <v>4.1018804629337503E-5</v>
      </c>
      <c r="H39">
        <v>3.0705911933355702E-4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5.23007600249453E-5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3.5791837912174802E-5</v>
      </c>
      <c r="AB39">
        <v>1.2992837296270301E-4</v>
      </c>
      <c r="AC39">
        <v>0</v>
      </c>
      <c r="AD39">
        <v>0</v>
      </c>
      <c r="AE39">
        <v>1.0949089354000401E-3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2.0195518140483598E-5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f>MAX(E39:CI39)</f>
        <v>1.0949089354000401E-3</v>
      </c>
    </row>
    <row r="40" spans="1:88" x14ac:dyDescent="0.2">
      <c r="A40" t="s">
        <v>137</v>
      </c>
      <c r="B40" t="s">
        <v>137</v>
      </c>
      <c r="C40" t="s">
        <v>88</v>
      </c>
      <c r="D40" t="s">
        <v>89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1.0593659261238E-5</v>
      </c>
      <c r="AA40">
        <v>8.7379388279331408E-6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1.1300456815952401E-5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f>MAX(E40:CI40)</f>
        <v>1.1300456815952401E-5</v>
      </c>
    </row>
    <row r="41" spans="1:88" x14ac:dyDescent="0.2">
      <c r="A41" t="s">
        <v>138</v>
      </c>
      <c r="B41" t="s">
        <v>138</v>
      </c>
      <c r="C41" t="s">
        <v>88</v>
      </c>
      <c r="D41" t="s">
        <v>89</v>
      </c>
      <c r="E41">
        <v>0</v>
      </c>
      <c r="F41">
        <v>0</v>
      </c>
      <c r="G41">
        <v>0</v>
      </c>
      <c r="H41">
        <v>1.6487317449667401E-4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1.3373743824928399E-4</v>
      </c>
      <c r="R41">
        <v>0</v>
      </c>
      <c r="S41">
        <v>0</v>
      </c>
      <c r="T41">
        <v>0</v>
      </c>
      <c r="U41">
        <v>1.15396862222927E-4</v>
      </c>
      <c r="V41">
        <v>0</v>
      </c>
      <c r="W41">
        <v>0</v>
      </c>
      <c r="X41">
        <v>0</v>
      </c>
      <c r="Y41">
        <v>0</v>
      </c>
      <c r="Z41">
        <v>0</v>
      </c>
      <c r="AA41">
        <v>5.0701755893838002E-5</v>
      </c>
      <c r="AB41">
        <v>6.3916943662431904E-5</v>
      </c>
      <c r="AC41">
        <v>0</v>
      </c>
      <c r="AD41">
        <v>0</v>
      </c>
      <c r="AE41">
        <v>2.1143895319641602E-3</v>
      </c>
      <c r="AF41">
        <v>0</v>
      </c>
      <c r="AG41">
        <v>2.4529912553724401E-5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7.5396120523502902E-5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2.4086461320285001E-5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3.1678747330920398E-5</v>
      </c>
      <c r="BV41">
        <v>0</v>
      </c>
      <c r="BW41">
        <v>0</v>
      </c>
      <c r="BX41">
        <v>9.2576551677224895E-6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f>MAX(E41:CI41)</f>
        <v>2.1143895319641602E-3</v>
      </c>
    </row>
    <row r="42" spans="1:88" x14ac:dyDescent="0.2">
      <c r="A42" t="s">
        <v>139</v>
      </c>
      <c r="B42" t="s">
        <v>139</v>
      </c>
      <c r="C42" t="s">
        <v>88</v>
      </c>
      <c r="D42" t="s">
        <v>89</v>
      </c>
      <c r="E42">
        <v>3.0268437316463498E-3</v>
      </c>
      <c r="F42">
        <v>1.90824880901564E-3</v>
      </c>
      <c r="G42">
        <v>3.6573203290441898E-3</v>
      </c>
      <c r="H42">
        <v>1.85075103105441E-3</v>
      </c>
      <c r="I42">
        <v>2.5723555712150602E-3</v>
      </c>
      <c r="J42">
        <v>1.0482020385836201E-3</v>
      </c>
      <c r="K42">
        <v>6.7708937682555001E-3</v>
      </c>
      <c r="L42">
        <v>1.8696787842205601E-3</v>
      </c>
      <c r="M42">
        <v>2.5784398226117102E-3</v>
      </c>
      <c r="N42">
        <v>1.0729117463040799E-3</v>
      </c>
      <c r="O42">
        <v>1.4574981091166001E-3</v>
      </c>
      <c r="P42">
        <v>1.69488407846686E-3</v>
      </c>
      <c r="Q42">
        <v>1.63128183438285E-3</v>
      </c>
      <c r="R42">
        <v>2.22059828465737E-3</v>
      </c>
      <c r="S42">
        <v>1.5830695667064399E-3</v>
      </c>
      <c r="T42">
        <v>1.3401178749552799E-3</v>
      </c>
      <c r="U42">
        <v>4.4095167839709997E-3</v>
      </c>
      <c r="V42">
        <v>1.7103618463055301E-3</v>
      </c>
      <c r="W42">
        <v>1.00724472119509E-3</v>
      </c>
      <c r="X42">
        <v>1.5419312134891199E-4</v>
      </c>
      <c r="Y42">
        <v>2.88141624280125E-3</v>
      </c>
      <c r="Z42">
        <v>7.5617096923594196E-4</v>
      </c>
      <c r="AA42">
        <v>5.9526178180719699E-3</v>
      </c>
      <c r="AB42">
        <v>8.8044250345612602E-4</v>
      </c>
      <c r="AC42">
        <v>8.2941903860311202E-3</v>
      </c>
      <c r="AD42">
        <v>1.8287654154343399E-3</v>
      </c>
      <c r="AE42">
        <v>2.8972635322454801E-3</v>
      </c>
      <c r="AF42">
        <v>2.4073542343585898E-3</v>
      </c>
      <c r="AG42">
        <v>4.2453060050341596E-3</v>
      </c>
      <c r="AH42">
        <v>1.7441747699905501E-3</v>
      </c>
      <c r="AI42">
        <v>3.9397621179218696E-3</v>
      </c>
      <c r="AJ42">
        <v>1.4900745597220401E-3</v>
      </c>
      <c r="AK42">
        <v>4.1123019909343004E-3</v>
      </c>
      <c r="AL42">
        <v>2.1125500162496699E-3</v>
      </c>
      <c r="AM42">
        <v>1.75276220534315E-3</v>
      </c>
      <c r="AN42">
        <v>2.51898742808313E-3</v>
      </c>
      <c r="AO42">
        <v>1.54457143919674E-3</v>
      </c>
      <c r="AP42">
        <v>9.1388594879240502E-4</v>
      </c>
      <c r="AQ42">
        <v>1.81839823007638E-3</v>
      </c>
      <c r="AR42">
        <v>2.3340115454443598E-3</v>
      </c>
      <c r="AS42">
        <v>6.1048219210003002E-3</v>
      </c>
      <c r="AT42">
        <v>9.34622000785133E-4</v>
      </c>
      <c r="AU42">
        <v>2.5365883879579099E-3</v>
      </c>
      <c r="AV42">
        <v>2.17241103413652E-3</v>
      </c>
      <c r="AW42">
        <v>2.16938183832188E-3</v>
      </c>
      <c r="AX42">
        <v>4.34178186176377E-3</v>
      </c>
      <c r="AY42">
        <v>3.6343269954248201E-3</v>
      </c>
      <c r="AZ42">
        <v>5.8261008767137596E-3</v>
      </c>
      <c r="BA42">
        <v>6.6515674593576098E-3</v>
      </c>
      <c r="BB42">
        <v>3.9265849710942704E-3</v>
      </c>
      <c r="BC42">
        <v>3.27364061336714E-3</v>
      </c>
      <c r="BD42">
        <v>8.1569725347202596E-3</v>
      </c>
      <c r="BE42">
        <v>1.8477235750686701E-3</v>
      </c>
      <c r="BF42">
        <v>4.1187838388259497E-3</v>
      </c>
      <c r="BG42">
        <v>0</v>
      </c>
      <c r="BH42">
        <v>5.9986427743157203E-3</v>
      </c>
      <c r="BI42">
        <v>4.03938268945716E-3</v>
      </c>
      <c r="BJ42">
        <v>3.8894124496278199E-3</v>
      </c>
      <c r="BK42">
        <v>2.7093617795347501E-3</v>
      </c>
      <c r="BL42">
        <v>3.9424845493649203E-3</v>
      </c>
      <c r="BM42">
        <v>3.4273621792043599E-3</v>
      </c>
      <c r="BN42">
        <v>3.7696150267943901E-3</v>
      </c>
      <c r="BO42">
        <v>3.6288832824574999E-3</v>
      </c>
      <c r="BP42">
        <v>2.7120581679552702E-3</v>
      </c>
      <c r="BQ42">
        <v>3.2343498913094499E-3</v>
      </c>
      <c r="BR42">
        <v>7.47465238094329E-3</v>
      </c>
      <c r="BS42">
        <v>1.0519013197729001E-3</v>
      </c>
      <c r="BT42">
        <v>1.1361377756076701E-3</v>
      </c>
      <c r="BU42">
        <v>1.0213838816059201E-3</v>
      </c>
      <c r="BV42">
        <v>8.0738002400208701E-4</v>
      </c>
      <c r="BW42">
        <v>4.0466160525419199E-3</v>
      </c>
      <c r="BX42">
        <v>3.7033350027865001E-3</v>
      </c>
      <c r="BY42">
        <v>0</v>
      </c>
      <c r="BZ42">
        <v>2.6602349812693601E-3</v>
      </c>
      <c r="CA42">
        <v>4.05299436565861E-3</v>
      </c>
      <c r="CB42">
        <v>1.94142223827701E-3</v>
      </c>
      <c r="CC42">
        <v>6.0199793288723E-3</v>
      </c>
      <c r="CD42">
        <v>3.0071078197931901E-3</v>
      </c>
      <c r="CE42">
        <v>4.1246775225434297E-3</v>
      </c>
      <c r="CF42">
        <v>6.9583777238800401E-3</v>
      </c>
      <c r="CG42">
        <v>7.4805925430250497E-3</v>
      </c>
      <c r="CH42">
        <v>3.6684280031707402E-3</v>
      </c>
      <c r="CI42">
        <v>2.8516354172336499E-3</v>
      </c>
      <c r="CJ42">
        <f>MAX(E42:CI42)</f>
        <v>8.2941903860311202E-3</v>
      </c>
    </row>
    <row r="43" spans="1:88" x14ac:dyDescent="0.2">
      <c r="A43" t="s">
        <v>140</v>
      </c>
      <c r="B43" t="s">
        <v>140</v>
      </c>
      <c r="C43" t="s">
        <v>88</v>
      </c>
      <c r="D43" t="s">
        <v>89</v>
      </c>
      <c r="E43">
        <v>3.1036661526317398E-4</v>
      </c>
      <c r="F43">
        <v>5.0659978366926505E-4</v>
      </c>
      <c r="G43">
        <v>7.7897944848584802E-4</v>
      </c>
      <c r="H43">
        <v>3.6481694314004199E-4</v>
      </c>
      <c r="I43">
        <v>2.53994317234138E-4</v>
      </c>
      <c r="J43">
        <v>2.74116387662442E-4</v>
      </c>
      <c r="K43">
        <v>9.8709738185280408E-4</v>
      </c>
      <c r="L43">
        <v>6.40825817170398E-4</v>
      </c>
      <c r="M43">
        <v>5.1114839328976404E-4</v>
      </c>
      <c r="N43">
        <v>3.86932313458808E-4</v>
      </c>
      <c r="O43">
        <v>3.6941200086802099E-4</v>
      </c>
      <c r="P43">
        <v>5.5657667246484296E-4</v>
      </c>
      <c r="Q43">
        <v>1.8690890792917599E-4</v>
      </c>
      <c r="R43">
        <v>6.7022712447352298E-4</v>
      </c>
      <c r="S43">
        <v>4.6978484222311699E-4</v>
      </c>
      <c r="T43">
        <v>3.2974331522339802E-4</v>
      </c>
      <c r="U43">
        <v>1.0674265481132701E-3</v>
      </c>
      <c r="V43">
        <v>4.43963227555973E-4</v>
      </c>
      <c r="W43">
        <v>4.2334847531152602E-4</v>
      </c>
      <c r="X43">
        <v>0</v>
      </c>
      <c r="Y43">
        <v>6.4776876086261495E-4</v>
      </c>
      <c r="Z43">
        <v>0</v>
      </c>
      <c r="AA43">
        <v>5.1556686751877997E-4</v>
      </c>
      <c r="AB43">
        <v>2.7671901301932702E-4</v>
      </c>
      <c r="AC43">
        <v>1.2877097974316699E-3</v>
      </c>
      <c r="AD43">
        <v>8.3138273224290301E-4</v>
      </c>
      <c r="AE43">
        <v>4.0609065913701901E-4</v>
      </c>
      <c r="AF43">
        <v>0</v>
      </c>
      <c r="AG43">
        <v>4.6656375757160899E-4</v>
      </c>
      <c r="AH43">
        <v>4.5663479383165301E-4</v>
      </c>
      <c r="AI43">
        <v>6.9048619486804296E-4</v>
      </c>
      <c r="AJ43">
        <v>0</v>
      </c>
      <c r="AK43">
        <v>5.1967520973326096E-4</v>
      </c>
      <c r="AL43">
        <v>7.6052938711465199E-4</v>
      </c>
      <c r="AM43">
        <v>5.1919798702652203E-4</v>
      </c>
      <c r="AN43">
        <v>0</v>
      </c>
      <c r="AO43">
        <v>4.8012243498882798E-4</v>
      </c>
      <c r="AP43">
        <v>2.9061297476957901E-4</v>
      </c>
      <c r="AQ43">
        <v>0</v>
      </c>
      <c r="AR43">
        <v>6.2553555539866595E-4</v>
      </c>
      <c r="AS43">
        <v>1.0393839350827799E-3</v>
      </c>
      <c r="AT43">
        <v>0</v>
      </c>
      <c r="AU43">
        <v>0</v>
      </c>
      <c r="AV43">
        <v>5.4399887303356804E-4</v>
      </c>
      <c r="AW43">
        <v>6.6270920047843695E-4</v>
      </c>
      <c r="AX43">
        <v>0</v>
      </c>
      <c r="AY43">
        <v>8.9081187955579997E-4</v>
      </c>
      <c r="AZ43">
        <v>8.2858487229647002E-4</v>
      </c>
      <c r="BA43">
        <v>1.06868816524888E-3</v>
      </c>
      <c r="BB43">
        <v>8.3049304541174898E-4</v>
      </c>
      <c r="BC43">
        <v>8.8664955410816797E-4</v>
      </c>
      <c r="BD43">
        <v>8.3939233676360995E-4</v>
      </c>
      <c r="BE43">
        <v>7.8323123741790598E-4</v>
      </c>
      <c r="BF43">
        <v>6.0535202564761205E-4</v>
      </c>
      <c r="BG43">
        <v>3.5092798280489602E-4</v>
      </c>
      <c r="BH43">
        <v>9.0974777061920498E-4</v>
      </c>
      <c r="BI43">
        <v>8.4594085526258004E-4</v>
      </c>
      <c r="BJ43">
        <v>8.2817859196650896E-4</v>
      </c>
      <c r="BK43">
        <v>7.5382406898151803E-4</v>
      </c>
      <c r="BL43">
        <v>9.5939400423404695E-4</v>
      </c>
      <c r="BM43">
        <v>4.88398138512576E-4</v>
      </c>
      <c r="BN43">
        <v>7.4110202509872203E-4</v>
      </c>
      <c r="BO43">
        <v>0</v>
      </c>
      <c r="BP43">
        <v>9.8255303166025791E-4</v>
      </c>
      <c r="BQ43">
        <v>0</v>
      </c>
      <c r="BR43">
        <v>1.5709342195195401E-3</v>
      </c>
      <c r="BS43">
        <v>2.7927110280571201E-4</v>
      </c>
      <c r="BT43">
        <v>0</v>
      </c>
      <c r="BU43">
        <v>3.9677107121495199E-4</v>
      </c>
      <c r="BV43">
        <v>2.39520119679389E-4</v>
      </c>
      <c r="BW43">
        <v>7.1472175246624099E-4</v>
      </c>
      <c r="BX43">
        <v>8.2403564838400001E-4</v>
      </c>
      <c r="BY43">
        <v>1.9574108892130701E-4</v>
      </c>
      <c r="BZ43">
        <v>1.10408370438373E-3</v>
      </c>
      <c r="CA43">
        <v>8.9505557091439905E-4</v>
      </c>
      <c r="CB43">
        <v>8.6954487549852099E-4</v>
      </c>
      <c r="CC43">
        <v>9.4433698677879403E-4</v>
      </c>
      <c r="CD43">
        <v>0</v>
      </c>
      <c r="CE43">
        <v>7.7271438992830305E-4</v>
      </c>
      <c r="CF43">
        <v>8.7838315783389596E-4</v>
      </c>
      <c r="CG43">
        <v>1.1909183855356999E-3</v>
      </c>
      <c r="CH43">
        <v>0</v>
      </c>
      <c r="CI43">
        <v>1.07370506050945E-3</v>
      </c>
      <c r="CJ43">
        <f>MAX(E43:CI43)</f>
        <v>1.5709342195195401E-3</v>
      </c>
    </row>
    <row r="44" spans="1:88" x14ac:dyDescent="0.2">
      <c r="A44" t="s">
        <v>141</v>
      </c>
      <c r="B44" t="s">
        <v>141</v>
      </c>
      <c r="C44" t="s">
        <v>88</v>
      </c>
      <c r="D44" t="s">
        <v>89</v>
      </c>
      <c r="E44">
        <v>2.5222957028735002E-3</v>
      </c>
      <c r="F44">
        <v>2.46856746034469E-3</v>
      </c>
      <c r="G44">
        <v>4.7698750218744699E-3</v>
      </c>
      <c r="H44">
        <v>1.6915506251798699E-3</v>
      </c>
      <c r="I44">
        <v>1.8399922763685801E-3</v>
      </c>
      <c r="J44">
        <v>1.1667988703967301E-3</v>
      </c>
      <c r="K44">
        <v>7.0463141226589504E-3</v>
      </c>
      <c r="L44">
        <v>2.10244672599836E-3</v>
      </c>
      <c r="M44">
        <v>2.0362964306360701E-3</v>
      </c>
      <c r="N44">
        <v>9.9893677131561703E-4</v>
      </c>
      <c r="O44">
        <v>1.35194492547198E-3</v>
      </c>
      <c r="P44">
        <v>2.4617729764027101E-3</v>
      </c>
      <c r="Q44">
        <v>1.47248540895072E-3</v>
      </c>
      <c r="R44">
        <v>2.3911619981220001E-3</v>
      </c>
      <c r="S44">
        <v>1.8080148783070501E-3</v>
      </c>
      <c r="T44">
        <v>1.6725303219342E-3</v>
      </c>
      <c r="U44">
        <v>5.0908230286489603E-3</v>
      </c>
      <c r="V44">
        <v>1.6133626550900099E-3</v>
      </c>
      <c r="W44">
        <v>1.1288623795770801E-3</v>
      </c>
      <c r="X44">
        <v>1.4592241212050099E-4</v>
      </c>
      <c r="Y44">
        <v>3.8923689547722602E-3</v>
      </c>
      <c r="Z44">
        <v>8.6962897200973995E-4</v>
      </c>
      <c r="AA44">
        <v>6.2372190979354302E-3</v>
      </c>
      <c r="AB44">
        <v>7.5032773510040997E-4</v>
      </c>
      <c r="AC44">
        <v>7.8545625036354205E-3</v>
      </c>
      <c r="AD44">
        <v>2.56153916224305E-3</v>
      </c>
      <c r="AE44">
        <v>4.7673386135275598E-3</v>
      </c>
      <c r="AF44">
        <v>2.9325808887204702E-3</v>
      </c>
      <c r="AG44">
        <v>4.1242216715282696E-3</v>
      </c>
      <c r="AH44">
        <v>2.0495050841686699E-3</v>
      </c>
      <c r="AI44">
        <v>4.00465400713481E-3</v>
      </c>
      <c r="AJ44">
        <v>1.65895268620198E-3</v>
      </c>
      <c r="AK44">
        <v>3.5405114236547498E-3</v>
      </c>
      <c r="AL44">
        <v>2.08571036795343E-3</v>
      </c>
      <c r="AM44">
        <v>4.4739177951310096E-3</v>
      </c>
      <c r="AN44">
        <v>1.90399586118088E-3</v>
      </c>
      <c r="AO44">
        <v>1.48555248445031E-3</v>
      </c>
      <c r="AP44">
        <v>1.0078014990275201E-3</v>
      </c>
      <c r="AQ44">
        <v>3.1321965004757302E-3</v>
      </c>
      <c r="AR44">
        <v>1.57453021826706E-3</v>
      </c>
      <c r="AS44">
        <v>5.4047299612843599E-3</v>
      </c>
      <c r="AT44">
        <v>8.6205107943402497E-4</v>
      </c>
      <c r="AU44">
        <v>3.5817642714446002E-3</v>
      </c>
      <c r="AV44">
        <v>2.4490519635176999E-3</v>
      </c>
      <c r="AW44">
        <v>3.2918951949707101E-3</v>
      </c>
      <c r="AX44">
        <v>4.6777606907635102E-3</v>
      </c>
      <c r="AY44">
        <v>5.9427163284606404E-3</v>
      </c>
      <c r="AZ44">
        <v>6.3651405816157001E-3</v>
      </c>
      <c r="BA44">
        <v>8.8605973201034104E-3</v>
      </c>
      <c r="BB44">
        <v>5.3055571866965799E-3</v>
      </c>
      <c r="BC44">
        <v>4.1398060986912602E-3</v>
      </c>
      <c r="BD44">
        <v>2.41738041921324E-2</v>
      </c>
      <c r="BE44">
        <v>2.4853353670284302E-3</v>
      </c>
      <c r="BF44">
        <v>6.9553501761662499E-3</v>
      </c>
      <c r="BG44">
        <v>0</v>
      </c>
      <c r="BH44">
        <v>0</v>
      </c>
      <c r="BI44">
        <v>5.4855224905822099E-3</v>
      </c>
      <c r="BJ44">
        <v>4.0739059624009004E-3</v>
      </c>
      <c r="BK44">
        <v>3.2451143134184699E-3</v>
      </c>
      <c r="BL44">
        <v>4.3646356939695402E-3</v>
      </c>
      <c r="BM44">
        <v>4.1824908544965799E-3</v>
      </c>
      <c r="BN44">
        <v>4.1193813647312201E-3</v>
      </c>
      <c r="BO44">
        <v>4.3777403563201303E-3</v>
      </c>
      <c r="BP44">
        <v>0</v>
      </c>
      <c r="BQ44">
        <v>4.5400747149620798E-3</v>
      </c>
      <c r="BR44">
        <v>8.8816775085127104E-3</v>
      </c>
      <c r="BS44">
        <v>1.2493237611743201E-3</v>
      </c>
      <c r="BT44">
        <v>1.19484067906781E-3</v>
      </c>
      <c r="BU44">
        <v>1.16432708421359E-3</v>
      </c>
      <c r="BV44">
        <v>1.0255905251676501E-3</v>
      </c>
      <c r="BW44">
        <v>4.3060294921887302E-3</v>
      </c>
      <c r="BX44">
        <v>4.0432072190596403E-3</v>
      </c>
      <c r="BY44">
        <v>0</v>
      </c>
      <c r="BZ44">
        <v>2.75396869992715E-3</v>
      </c>
      <c r="CA44">
        <v>4.05251844301856E-3</v>
      </c>
      <c r="CB44">
        <v>2.2861093506049801E-3</v>
      </c>
      <c r="CC44">
        <v>7.1362983752082899E-3</v>
      </c>
      <c r="CD44">
        <v>3.40120649702676E-3</v>
      </c>
      <c r="CE44">
        <v>6.6079690470293101E-3</v>
      </c>
      <c r="CF44">
        <v>9.1762238616649797E-3</v>
      </c>
      <c r="CG44">
        <v>9.5189270820138904E-3</v>
      </c>
      <c r="CH44">
        <v>5.4376093038409302E-3</v>
      </c>
      <c r="CI44">
        <v>7.26467182139538E-3</v>
      </c>
      <c r="CJ44">
        <f>MAX(E44:CI44)</f>
        <v>2.41738041921324E-2</v>
      </c>
    </row>
    <row r="45" spans="1:88" x14ac:dyDescent="0.2">
      <c r="A45" t="s">
        <v>142</v>
      </c>
      <c r="B45" t="s">
        <v>142</v>
      </c>
      <c r="C45" t="s">
        <v>88</v>
      </c>
      <c r="D45" t="s">
        <v>89</v>
      </c>
      <c r="E45">
        <v>1.2705887333177199E-4</v>
      </c>
      <c r="F45">
        <v>0</v>
      </c>
      <c r="G45">
        <v>0</v>
      </c>
      <c r="H45">
        <v>1.03580737764457E-3</v>
      </c>
      <c r="I45">
        <v>0</v>
      </c>
      <c r="J45">
        <v>0</v>
      </c>
      <c r="K45">
        <v>3.3080266527307903E-5</v>
      </c>
      <c r="L45">
        <v>0</v>
      </c>
      <c r="M45">
        <v>0</v>
      </c>
      <c r="N45">
        <v>0</v>
      </c>
      <c r="O45">
        <v>0</v>
      </c>
      <c r="P45">
        <v>3.16262718732682E-5</v>
      </c>
      <c r="Q45">
        <v>5.1344508394798698E-4</v>
      </c>
      <c r="R45">
        <v>5.0389842393944596E-4</v>
      </c>
      <c r="S45">
        <v>0</v>
      </c>
      <c r="T45">
        <v>0</v>
      </c>
      <c r="U45">
        <v>8.6774675845317502E-5</v>
      </c>
      <c r="V45">
        <v>0</v>
      </c>
      <c r="W45">
        <v>1.8324114633179201E-4</v>
      </c>
      <c r="X45">
        <v>0</v>
      </c>
      <c r="Y45">
        <v>0</v>
      </c>
      <c r="Z45">
        <v>0</v>
      </c>
      <c r="AA45">
        <v>0</v>
      </c>
      <c r="AB45">
        <v>4.1832806334237403E-4</v>
      </c>
      <c r="AC45">
        <v>0</v>
      </c>
      <c r="AD45">
        <v>3.69744736231612E-5</v>
      </c>
      <c r="AE45">
        <v>0</v>
      </c>
      <c r="AF45">
        <v>1.75589685109258E-5</v>
      </c>
      <c r="AG45">
        <v>0</v>
      </c>
      <c r="AH45">
        <v>0</v>
      </c>
      <c r="AI45">
        <v>0</v>
      </c>
      <c r="AJ45">
        <v>2.3344415258611099E-5</v>
      </c>
      <c r="AK45">
        <v>0</v>
      </c>
      <c r="AL45">
        <v>2.01050427086016E-5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1.19645673848014E-5</v>
      </c>
      <c r="AT45">
        <v>1.5624099642634799E-4</v>
      </c>
      <c r="AU45">
        <v>0</v>
      </c>
      <c r="AV45">
        <v>0</v>
      </c>
      <c r="AW45">
        <v>0</v>
      </c>
      <c r="AX45">
        <v>0</v>
      </c>
      <c r="AY45">
        <v>1.39337495464539E-5</v>
      </c>
      <c r="AZ45">
        <v>1.81311353521799E-5</v>
      </c>
      <c r="BA45">
        <v>2.21148501021037E-5</v>
      </c>
      <c r="BB45">
        <v>0</v>
      </c>
      <c r="BC45">
        <v>2.1241882392435501E-4</v>
      </c>
      <c r="BD45">
        <v>0</v>
      </c>
      <c r="BE45">
        <v>1.15193241671566E-5</v>
      </c>
      <c r="BF45">
        <v>0</v>
      </c>
      <c r="BG45">
        <v>0</v>
      </c>
      <c r="BH45">
        <v>4.6787517223960301E-5</v>
      </c>
      <c r="BI45">
        <v>0</v>
      </c>
      <c r="BJ45">
        <v>8.2816142957921899E-4</v>
      </c>
      <c r="BK45">
        <v>4.7087106078065099E-5</v>
      </c>
      <c r="BL45">
        <v>0</v>
      </c>
      <c r="BM45">
        <v>0</v>
      </c>
      <c r="BN45">
        <v>0</v>
      </c>
      <c r="BO45">
        <v>9.5849091323708598E-6</v>
      </c>
      <c r="BP45">
        <v>3.5922371507008397E-5</v>
      </c>
      <c r="BQ45">
        <v>1.5989357026857299E-5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2.34899990925375E-5</v>
      </c>
      <c r="BX45">
        <v>1.4118416836714699E-5</v>
      </c>
      <c r="BY45">
        <v>0</v>
      </c>
      <c r="BZ45">
        <v>0</v>
      </c>
      <c r="CA45">
        <v>0</v>
      </c>
      <c r="CB45">
        <v>5.1550870110760699E-6</v>
      </c>
      <c r="CC45">
        <v>0</v>
      </c>
      <c r="CD45">
        <v>8.4719620170413108E-6</v>
      </c>
      <c r="CE45">
        <v>1.60509964983692E-5</v>
      </c>
      <c r="CF45">
        <v>5.3454220401745303E-5</v>
      </c>
      <c r="CG45">
        <v>3.6181869258978598E-5</v>
      </c>
      <c r="CH45">
        <v>1.4661790174236E-5</v>
      </c>
      <c r="CI45">
        <v>1.4048469081718299E-5</v>
      </c>
      <c r="CJ45">
        <f>MAX(E45:CI45)</f>
        <v>1.03580737764457E-3</v>
      </c>
    </row>
    <row r="46" spans="1:88" x14ac:dyDescent="0.2">
      <c r="A46" t="s">
        <v>143</v>
      </c>
      <c r="B46" t="s">
        <v>143</v>
      </c>
      <c r="C46" t="s">
        <v>88</v>
      </c>
      <c r="D46" t="s">
        <v>89</v>
      </c>
      <c r="E46">
        <v>1.8877957324978799E-3</v>
      </c>
      <c r="F46">
        <v>1.0428575748303399E-3</v>
      </c>
      <c r="G46">
        <v>2.6273625181982602E-3</v>
      </c>
      <c r="H46">
        <v>5.34688692726403E-4</v>
      </c>
      <c r="I46">
        <v>1.667051436139E-3</v>
      </c>
      <c r="J46">
        <v>9.5511573525576998E-4</v>
      </c>
      <c r="K46">
        <v>6.1690032636041404E-3</v>
      </c>
      <c r="L46">
        <v>1.14284412483177E-3</v>
      </c>
      <c r="M46">
        <v>1.8492302964899601E-3</v>
      </c>
      <c r="N46">
        <v>0</v>
      </c>
      <c r="O46">
        <v>1.0079198539608299E-3</v>
      </c>
      <c r="P46">
        <v>1.1007026194246E-3</v>
      </c>
      <c r="Q46">
        <v>1.25455585030942E-3</v>
      </c>
      <c r="R46">
        <v>1.3422394527978299E-3</v>
      </c>
      <c r="S46">
        <v>1.1394309188218199E-3</v>
      </c>
      <c r="T46">
        <v>2.62636450304473E-3</v>
      </c>
      <c r="U46">
        <v>3.5083507032960398E-3</v>
      </c>
      <c r="V46">
        <v>9.2908617985574702E-4</v>
      </c>
      <c r="W46">
        <v>0</v>
      </c>
      <c r="X46">
        <v>0</v>
      </c>
      <c r="Y46">
        <v>1.46954875780533E-3</v>
      </c>
      <c r="Z46">
        <v>4.53062377843394E-4</v>
      </c>
      <c r="AA46">
        <v>3.3855481904768599E-3</v>
      </c>
      <c r="AB46">
        <v>0</v>
      </c>
      <c r="AC46">
        <v>4.1220855413692196E-3</v>
      </c>
      <c r="AD46">
        <v>0</v>
      </c>
      <c r="AE46">
        <v>2.6075461284762202E-3</v>
      </c>
      <c r="AF46">
        <v>9.1803660874114105E-4</v>
      </c>
      <c r="AG46">
        <v>2.2086962814475502E-3</v>
      </c>
      <c r="AH46">
        <v>0</v>
      </c>
      <c r="AI46">
        <v>2.1054260884543399E-3</v>
      </c>
      <c r="AJ46">
        <v>9.34789875501521E-4</v>
      </c>
      <c r="AK46">
        <v>2.5885407128353401E-3</v>
      </c>
      <c r="AL46">
        <v>9.4140608251944103E-4</v>
      </c>
      <c r="AM46">
        <v>3.0246491145807099E-3</v>
      </c>
      <c r="AN46">
        <v>1.43924921084781E-3</v>
      </c>
      <c r="AO46">
        <v>5.59193352469716E-4</v>
      </c>
      <c r="AP46">
        <v>4.9390451925564996E-4</v>
      </c>
      <c r="AQ46">
        <v>0</v>
      </c>
      <c r="AR46">
        <v>0</v>
      </c>
      <c r="AS46">
        <v>4.1927020421266099E-3</v>
      </c>
      <c r="AT46">
        <v>0</v>
      </c>
      <c r="AU46">
        <v>1.6983414140384801E-3</v>
      </c>
      <c r="AV46">
        <v>1.6292885294714901E-3</v>
      </c>
      <c r="AW46">
        <v>1.39004224766005E-3</v>
      </c>
      <c r="AX46">
        <v>2.52234797361948E-3</v>
      </c>
      <c r="AY46">
        <v>2.3798248768993799E-3</v>
      </c>
      <c r="AZ46">
        <v>3.8193899412139101E-3</v>
      </c>
      <c r="BA46">
        <v>4.2330948527157502E-3</v>
      </c>
      <c r="BB46">
        <v>4.06199140386622E-3</v>
      </c>
      <c r="BC46">
        <v>2.2948906683595599E-3</v>
      </c>
      <c r="BD46">
        <v>0</v>
      </c>
      <c r="BE46">
        <v>1.3897830159001799E-3</v>
      </c>
      <c r="BF46">
        <v>2.42813036464248E-3</v>
      </c>
      <c r="BG46">
        <v>0</v>
      </c>
      <c r="BH46">
        <v>5.8377030541445201E-3</v>
      </c>
      <c r="BI46">
        <v>0</v>
      </c>
      <c r="BJ46">
        <v>3.09385531545165E-3</v>
      </c>
      <c r="BK46">
        <v>2.4534205577379799E-3</v>
      </c>
      <c r="BL46">
        <v>0</v>
      </c>
      <c r="BM46">
        <v>2.2747202824450201E-3</v>
      </c>
      <c r="BN46">
        <v>2.4746626295949099E-3</v>
      </c>
      <c r="BO46">
        <v>2.9524394522851098E-3</v>
      </c>
      <c r="BP46">
        <v>2.4221665374506299E-3</v>
      </c>
      <c r="BQ46">
        <v>2.6005846812083501E-3</v>
      </c>
      <c r="BR46">
        <v>5.0349713074093003E-3</v>
      </c>
      <c r="BS46">
        <v>7.7637939365070199E-4</v>
      </c>
      <c r="BT46">
        <v>1.3103490555141501E-3</v>
      </c>
      <c r="BU46">
        <v>8.9254269527784796E-4</v>
      </c>
      <c r="BV46">
        <v>0</v>
      </c>
      <c r="BW46">
        <v>3.38531433317025E-3</v>
      </c>
      <c r="BX46">
        <v>2.6308312988824198E-3</v>
      </c>
      <c r="BY46">
        <v>0</v>
      </c>
      <c r="BZ46">
        <v>1.9948626542713298E-3</v>
      </c>
      <c r="CA46">
        <v>3.2317592460754298E-3</v>
      </c>
      <c r="CB46">
        <v>1.9730859315779102E-3</v>
      </c>
      <c r="CC46">
        <v>5.1754247692772396E-3</v>
      </c>
      <c r="CD46">
        <v>1.9629715261748901E-3</v>
      </c>
      <c r="CE46">
        <v>4.3897016092444702E-3</v>
      </c>
      <c r="CF46">
        <v>5.46932838857419E-3</v>
      </c>
      <c r="CG46">
        <v>5.3753531276250696E-3</v>
      </c>
      <c r="CH46">
        <v>3.2919634144968199E-3</v>
      </c>
      <c r="CI46">
        <v>2.8167091203284002E-3</v>
      </c>
      <c r="CJ46">
        <f>MAX(E46:CI46)</f>
        <v>6.1690032636041404E-3</v>
      </c>
    </row>
    <row r="47" spans="1:88" x14ac:dyDescent="0.2">
      <c r="A47" t="s">
        <v>144</v>
      </c>
      <c r="B47" t="s">
        <v>144</v>
      </c>
      <c r="C47" t="s">
        <v>88</v>
      </c>
      <c r="D47" t="s">
        <v>89</v>
      </c>
      <c r="E47">
        <v>0</v>
      </c>
      <c r="F47">
        <v>0</v>
      </c>
      <c r="G47">
        <v>1.37904043385691E-5</v>
      </c>
      <c r="H47">
        <v>8.0544520425226998E-6</v>
      </c>
      <c r="I47">
        <v>0</v>
      </c>
      <c r="J47">
        <v>0</v>
      </c>
      <c r="K47">
        <v>0</v>
      </c>
      <c r="L47">
        <v>0</v>
      </c>
      <c r="M47">
        <v>1.5881042207959901E-5</v>
      </c>
      <c r="N47">
        <v>0</v>
      </c>
      <c r="O47">
        <v>0</v>
      </c>
      <c r="P47">
        <v>0</v>
      </c>
      <c r="Q47">
        <v>1.00837715945443E-5</v>
      </c>
      <c r="R47">
        <v>2.5799126382113001E-5</v>
      </c>
      <c r="S47">
        <v>0</v>
      </c>
      <c r="T47">
        <v>0</v>
      </c>
      <c r="U47">
        <v>0</v>
      </c>
      <c r="V47">
        <v>0</v>
      </c>
      <c r="W47">
        <v>2.1267870145822199E-4</v>
      </c>
      <c r="X47">
        <v>0</v>
      </c>
      <c r="Y47">
        <v>0</v>
      </c>
      <c r="Z47">
        <v>0</v>
      </c>
      <c r="AA47">
        <v>0</v>
      </c>
      <c r="AB47">
        <v>1.3050675763245801E-4</v>
      </c>
      <c r="AC47">
        <v>6.5489398260874701E-6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7.1737956273767997E-5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1.07465236801171E-5</v>
      </c>
      <c r="AV47">
        <v>0</v>
      </c>
      <c r="AW47">
        <v>0</v>
      </c>
      <c r="AX47">
        <v>0</v>
      </c>
      <c r="AY47">
        <v>2.11786366757863E-5</v>
      </c>
      <c r="AZ47">
        <v>0</v>
      </c>
      <c r="BA47">
        <v>3.5756005877986602E-5</v>
      </c>
      <c r="BB47">
        <v>0</v>
      </c>
      <c r="BC47">
        <v>1.0053724958847401E-5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1.14613823296718E-5</v>
      </c>
      <c r="BJ47">
        <v>5.8443874567701797E-5</v>
      </c>
      <c r="BK47">
        <v>0</v>
      </c>
      <c r="BL47">
        <v>7.9065496049136703E-6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1.7462563565459199E-5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2.4571462128127299E-5</v>
      </c>
      <c r="CA47">
        <v>0</v>
      </c>
      <c r="CB47">
        <v>6.7200112483178696E-6</v>
      </c>
      <c r="CC47">
        <v>0</v>
      </c>
      <c r="CD47">
        <v>0</v>
      </c>
      <c r="CE47">
        <v>1.03700058168972E-5</v>
      </c>
      <c r="CF47">
        <v>1.4571927438889701E-5</v>
      </c>
      <c r="CG47">
        <v>1.9461441270753301E-5</v>
      </c>
      <c r="CH47">
        <v>0</v>
      </c>
      <c r="CI47">
        <v>0</v>
      </c>
      <c r="CJ47">
        <f>MAX(E47:CI47)</f>
        <v>2.1267870145822199E-4</v>
      </c>
    </row>
    <row r="48" spans="1:88" x14ac:dyDescent="0.2">
      <c r="A48" t="s">
        <v>145</v>
      </c>
      <c r="B48" t="s">
        <v>145</v>
      </c>
      <c r="C48" t="s">
        <v>88</v>
      </c>
      <c r="D48" t="s">
        <v>89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4.4671753483087799E-5</v>
      </c>
      <c r="Q48">
        <v>0</v>
      </c>
      <c r="R48">
        <v>1.45812917621959E-5</v>
      </c>
      <c r="S48">
        <v>0</v>
      </c>
      <c r="T48">
        <v>0</v>
      </c>
      <c r="U48">
        <v>0</v>
      </c>
      <c r="V48">
        <v>3.0759905719554201E-5</v>
      </c>
      <c r="W48">
        <v>1.07284010504883E-4</v>
      </c>
      <c r="X48">
        <v>0</v>
      </c>
      <c r="Y48">
        <v>1.2244329270850599E-5</v>
      </c>
      <c r="Z48">
        <v>6.4666595907613504E-5</v>
      </c>
      <c r="AA48">
        <v>0</v>
      </c>
      <c r="AB48">
        <v>1.0794735365284699E-5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2.0243005821307801E-5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1.24625237798046E-5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f>MAX(E48:CI48)</f>
        <v>1.07284010504883E-4</v>
      </c>
    </row>
    <row r="49" spans="1:88" x14ac:dyDescent="0.2">
      <c r="A49" t="s">
        <v>146</v>
      </c>
      <c r="B49" t="s">
        <v>146</v>
      </c>
      <c r="C49" t="s">
        <v>147</v>
      </c>
      <c r="D49" t="s">
        <v>148</v>
      </c>
      <c r="E49">
        <v>6.7868929641110696E-5</v>
      </c>
      <c r="F49">
        <v>3.5900789555988602E-5</v>
      </c>
      <c r="G49">
        <v>3.6840032105017598E-4</v>
      </c>
      <c r="H49">
        <v>3.7702053034416701E-5</v>
      </c>
      <c r="I49">
        <v>1.92410159674713E-5</v>
      </c>
      <c r="J49">
        <v>0</v>
      </c>
      <c r="K49">
        <v>4.3321750816693801E-4</v>
      </c>
      <c r="L49">
        <v>2.9351682434597301E-5</v>
      </c>
      <c r="M49">
        <v>3.1415067702539697E-5</v>
      </c>
      <c r="N49">
        <v>0</v>
      </c>
      <c r="O49">
        <v>1.22271713951642E-5</v>
      </c>
      <c r="P49">
        <v>2.0209892340285901E-5</v>
      </c>
      <c r="Q49">
        <v>1.34707569399596E-5</v>
      </c>
      <c r="R49">
        <v>0</v>
      </c>
      <c r="S49">
        <v>6.02766350804646E-5</v>
      </c>
      <c r="T49">
        <v>2.1151881268769701E-5</v>
      </c>
      <c r="U49">
        <v>1.18442345749389E-4</v>
      </c>
      <c r="V49">
        <v>3.4626213301097302E-5</v>
      </c>
      <c r="W49">
        <v>0</v>
      </c>
      <c r="X49">
        <v>0</v>
      </c>
      <c r="Y49">
        <v>1.2520480610524E-4</v>
      </c>
      <c r="Z49">
        <v>6.3780218099472106E-5</v>
      </c>
      <c r="AA49">
        <v>2.19499734869226E-4</v>
      </c>
      <c r="AB49">
        <v>0</v>
      </c>
      <c r="AC49">
        <v>2.6056435242348598E-4</v>
      </c>
      <c r="AD49">
        <v>1.0431553746122299E-4</v>
      </c>
      <c r="AE49">
        <v>7.2216261156719095E-5</v>
      </c>
      <c r="AF49">
        <v>2.30619486075962E-4</v>
      </c>
      <c r="AG49">
        <v>8.4590189914352394E-5</v>
      </c>
      <c r="AH49">
        <v>5.5518023962519197E-5</v>
      </c>
      <c r="AI49">
        <v>0</v>
      </c>
      <c r="AJ49">
        <v>1.2808727903256001E-4</v>
      </c>
      <c r="AK49">
        <v>8.3142484855832605E-5</v>
      </c>
      <c r="AL49">
        <v>1.08790005822731E-4</v>
      </c>
      <c r="AM49">
        <v>0</v>
      </c>
      <c r="AN49">
        <v>4.6122623242912103E-5</v>
      </c>
      <c r="AO49">
        <v>0</v>
      </c>
      <c r="AP49">
        <v>0</v>
      </c>
      <c r="AQ49">
        <v>0</v>
      </c>
      <c r="AR49">
        <v>3.3850726975904703E-5</v>
      </c>
      <c r="AS49">
        <v>1.6472973508269701E-4</v>
      </c>
      <c r="AT49">
        <v>2.57542555070611E-5</v>
      </c>
      <c r="AU49">
        <v>8.8760144380531006E-5</v>
      </c>
      <c r="AV49">
        <v>3.1317926461714099E-4</v>
      </c>
      <c r="AW49">
        <v>1.66103200278314E-4</v>
      </c>
      <c r="AX49">
        <v>2.6897690992941299E-4</v>
      </c>
      <c r="AY49">
        <v>2.6360036058269701E-4</v>
      </c>
      <c r="AZ49">
        <v>3.62250505352436E-4</v>
      </c>
      <c r="BA49">
        <v>3.4891207533257199E-4</v>
      </c>
      <c r="BB49">
        <v>3.71343648416541E-4</v>
      </c>
      <c r="BC49">
        <v>2.1338358140419699E-4</v>
      </c>
      <c r="BD49">
        <v>3.1955160264189201E-4</v>
      </c>
      <c r="BE49">
        <v>0</v>
      </c>
      <c r="BF49">
        <v>5.7595426683029803E-5</v>
      </c>
      <c r="BG49">
        <v>5.6317711667724998E-6</v>
      </c>
      <c r="BH49">
        <v>2.0426690094154501E-4</v>
      </c>
      <c r="BI49">
        <v>1.20389053489146E-4</v>
      </c>
      <c r="BJ49">
        <v>1.85540191283693E-4</v>
      </c>
      <c r="BK49">
        <v>3.6471195549283503E-5</v>
      </c>
      <c r="BL49">
        <v>3.83091926934555E-4</v>
      </c>
      <c r="BM49">
        <v>9.64146435541066E-5</v>
      </c>
      <c r="BN49">
        <v>3.3933058045041001E-4</v>
      </c>
      <c r="BO49">
        <v>2.23598043952533E-4</v>
      </c>
      <c r="BP49">
        <v>2.4768744885455798E-4</v>
      </c>
      <c r="BQ49">
        <v>9.3953724279979606E-5</v>
      </c>
      <c r="BR49">
        <v>0</v>
      </c>
      <c r="BS49">
        <v>4.15225484003051E-5</v>
      </c>
      <c r="BT49">
        <v>0</v>
      </c>
      <c r="BU49">
        <v>6.8836376295326295E-5</v>
      </c>
      <c r="BV49">
        <v>0</v>
      </c>
      <c r="BW49">
        <v>1.30322979367617E-4</v>
      </c>
      <c r="BX49">
        <v>6.0924643977812497E-5</v>
      </c>
      <c r="BY49">
        <v>6.9585539709370598E-5</v>
      </c>
      <c r="BZ49">
        <v>2.8512480416882901E-4</v>
      </c>
      <c r="CA49">
        <v>5.4792232998539401E-5</v>
      </c>
      <c r="CB49">
        <v>2.8544996888292599E-4</v>
      </c>
      <c r="CC49">
        <v>2.8535730845463198E-4</v>
      </c>
      <c r="CD49">
        <v>8.2204198636758207E-5</v>
      </c>
      <c r="CE49">
        <v>1.0049605181986199E-4</v>
      </c>
      <c r="CF49">
        <v>3.5482319322527198E-4</v>
      </c>
      <c r="CG49">
        <v>4.5346001703141999E-4</v>
      </c>
      <c r="CH49">
        <v>0</v>
      </c>
      <c r="CI49">
        <v>6.2580063573622306E-5</v>
      </c>
      <c r="CJ49">
        <f>MAX(E49:CI49)</f>
        <v>4.5346001703141999E-4</v>
      </c>
    </row>
    <row r="50" spans="1:88" x14ac:dyDescent="0.2">
      <c r="A50" t="s">
        <v>149</v>
      </c>
      <c r="B50" t="s">
        <v>149</v>
      </c>
      <c r="C50" t="s">
        <v>116</v>
      </c>
      <c r="D50" t="s">
        <v>89</v>
      </c>
      <c r="E50">
        <v>0</v>
      </c>
      <c r="F50">
        <v>0</v>
      </c>
      <c r="G50">
        <v>1.6707712750748498E-5</v>
      </c>
      <c r="H50">
        <v>4.09273852947579E-5</v>
      </c>
      <c r="I50">
        <v>0</v>
      </c>
      <c r="J50">
        <v>1.4212222565953601E-4</v>
      </c>
      <c r="K50">
        <v>0</v>
      </c>
      <c r="L50">
        <v>1.4154515228392299E-4</v>
      </c>
      <c r="M50">
        <v>4.8026617445996903E-5</v>
      </c>
      <c r="N50">
        <v>0</v>
      </c>
      <c r="O50">
        <v>9.7025301286233795E-5</v>
      </c>
      <c r="P50">
        <v>0</v>
      </c>
      <c r="Q50">
        <v>3.0804559298837602E-5</v>
      </c>
      <c r="R50">
        <v>3.8226804897744399E-5</v>
      </c>
      <c r="S50">
        <v>4.72555693445297E-5</v>
      </c>
      <c r="T50">
        <v>3.0035301788055801E-5</v>
      </c>
      <c r="U50">
        <v>6.00298143160187E-5</v>
      </c>
      <c r="V50">
        <v>3.7488321864259601E-5</v>
      </c>
      <c r="W50">
        <v>2.1422295219262701E-5</v>
      </c>
      <c r="X50">
        <v>4.5199122139957903E-5</v>
      </c>
      <c r="Y50">
        <v>6.3824291133833598E-5</v>
      </c>
      <c r="Z50">
        <v>1.0580324797836099E-4</v>
      </c>
      <c r="AA50">
        <v>0</v>
      </c>
      <c r="AB50">
        <v>0</v>
      </c>
      <c r="AC50">
        <v>9.4108532237069695E-6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3.6029978253757002E-5</v>
      </c>
      <c r="AP50">
        <v>6.0710806191703097E-5</v>
      </c>
      <c r="AQ50">
        <v>0</v>
      </c>
      <c r="AR50">
        <v>7.2255681240240006E-5</v>
      </c>
      <c r="AS50">
        <v>4.47508202472186E-5</v>
      </c>
      <c r="AT50">
        <v>0</v>
      </c>
      <c r="AU50">
        <v>0</v>
      </c>
      <c r="AV50">
        <v>3.1010587922277603E-5</v>
      </c>
      <c r="AW50">
        <v>0</v>
      </c>
      <c r="AX50">
        <v>1.13926826496017E-4</v>
      </c>
      <c r="AY50">
        <v>0</v>
      </c>
      <c r="AZ50">
        <v>9.3319198485179903E-5</v>
      </c>
      <c r="BA50">
        <v>4.9985380223252402E-5</v>
      </c>
      <c r="BB50">
        <v>4.8938877070059298E-5</v>
      </c>
      <c r="BC50">
        <v>3.72490327624359E-5</v>
      </c>
      <c r="BD50">
        <v>1.32665500560651E-4</v>
      </c>
      <c r="BE50">
        <v>4.4876812254670799E-5</v>
      </c>
      <c r="BF50">
        <v>3.9729582383143499E-5</v>
      </c>
      <c r="BG50">
        <v>0</v>
      </c>
      <c r="BH50">
        <v>0</v>
      </c>
      <c r="BI50">
        <v>0</v>
      </c>
      <c r="BJ50">
        <v>0</v>
      </c>
      <c r="BK50">
        <v>3.5493187227475E-5</v>
      </c>
      <c r="BL50">
        <v>0</v>
      </c>
      <c r="BM50">
        <v>0</v>
      </c>
      <c r="BN50">
        <v>0</v>
      </c>
      <c r="BO50">
        <v>0</v>
      </c>
      <c r="BP50">
        <v>3.7078315880262898E-5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9.8111067253509195E-5</v>
      </c>
      <c r="CA50">
        <v>6.5178295666075002E-5</v>
      </c>
      <c r="CB50">
        <v>0</v>
      </c>
      <c r="CC50">
        <v>0</v>
      </c>
      <c r="CD50">
        <v>1.2313173528789601E-4</v>
      </c>
      <c r="CE50">
        <v>6.8910119016993298E-5</v>
      </c>
      <c r="CF50">
        <v>7.8989433655680605E-5</v>
      </c>
      <c r="CG50">
        <v>8.97906261295046E-5</v>
      </c>
      <c r="CH50">
        <v>0</v>
      </c>
      <c r="CI50">
        <v>2.11093567708543E-4</v>
      </c>
      <c r="CJ50">
        <f>MAX(E50:CI50)</f>
        <v>2.11093567708543E-4</v>
      </c>
    </row>
    <row r="51" spans="1:88" x14ac:dyDescent="0.2">
      <c r="A51" t="s">
        <v>150</v>
      </c>
      <c r="B51" t="s">
        <v>150</v>
      </c>
      <c r="C51" t="s">
        <v>116</v>
      </c>
      <c r="D51" t="s">
        <v>89</v>
      </c>
      <c r="E51">
        <v>4.1836852120908399E-4</v>
      </c>
      <c r="F51">
        <v>5.3490295856742896E-4</v>
      </c>
      <c r="G51">
        <v>1.1061142822180799E-3</v>
      </c>
      <c r="H51">
        <v>3.24543563185452E-4</v>
      </c>
      <c r="I51">
        <v>4.6057567790820398E-4</v>
      </c>
      <c r="J51">
        <v>5.94494717551159E-4</v>
      </c>
      <c r="K51">
        <v>1.01926239146789E-3</v>
      </c>
      <c r="L51">
        <v>2.7878538330598898E-4</v>
      </c>
      <c r="M51">
        <v>0</v>
      </c>
      <c r="N51">
        <v>1.12648133456767E-4</v>
      </c>
      <c r="O51">
        <v>1.8745196614211601E-4</v>
      </c>
      <c r="P51">
        <v>3.80901778091318E-4</v>
      </c>
      <c r="Q51">
        <v>1.7697503219214099E-4</v>
      </c>
      <c r="R51">
        <v>3.3654101483156798E-4</v>
      </c>
      <c r="S51">
        <v>2.57517056746072E-4</v>
      </c>
      <c r="T51">
        <v>2.1889104771559799E-4</v>
      </c>
      <c r="U51">
        <v>6.9388100685834205E-4</v>
      </c>
      <c r="V51">
        <v>4.8714472029439798E-4</v>
      </c>
      <c r="W51">
        <v>1.43129119632083E-4</v>
      </c>
      <c r="X51">
        <v>1.01069007281283E-4</v>
      </c>
      <c r="Y51">
        <v>3.46433594524513E-4</v>
      </c>
      <c r="Z51">
        <v>0</v>
      </c>
      <c r="AA51">
        <v>0</v>
      </c>
      <c r="AB51">
        <v>5.1437872782124599E-4</v>
      </c>
      <c r="AC51">
        <v>1.04994125343345E-3</v>
      </c>
      <c r="AD51">
        <v>7.8663633002447103E-4</v>
      </c>
      <c r="AE51">
        <v>8.9123041655876601E-4</v>
      </c>
      <c r="AF51">
        <v>1.25949660156148E-3</v>
      </c>
      <c r="AG51">
        <v>6.66634828900788E-4</v>
      </c>
      <c r="AH51">
        <v>4.5248688914975999E-4</v>
      </c>
      <c r="AI51">
        <v>3.5189411188026498E-4</v>
      </c>
      <c r="AJ51">
        <v>5.34153403547768E-4</v>
      </c>
      <c r="AK51">
        <v>6.2984110446987797E-4</v>
      </c>
      <c r="AL51">
        <v>6.0157946066003202E-4</v>
      </c>
      <c r="AM51">
        <v>7.20571365710545E-4</v>
      </c>
      <c r="AN51">
        <v>1.0099130868618301E-3</v>
      </c>
      <c r="AO51">
        <v>6.2585971785284497E-4</v>
      </c>
      <c r="AP51">
        <v>4.6689261005371301E-4</v>
      </c>
      <c r="AQ51">
        <v>0</v>
      </c>
      <c r="AR51">
        <v>1.0270864505705201E-3</v>
      </c>
      <c r="AS51">
        <v>1.7581098211805299E-3</v>
      </c>
      <c r="AT51">
        <v>0</v>
      </c>
      <c r="AU51">
        <v>0</v>
      </c>
      <c r="AV51">
        <v>2.13436160603413E-3</v>
      </c>
      <c r="AW51">
        <v>1.36404594858979E-3</v>
      </c>
      <c r="AX51">
        <v>1.67278451671231E-3</v>
      </c>
      <c r="AY51">
        <v>1.43508954333847E-3</v>
      </c>
      <c r="AZ51">
        <v>1.0639739623446399E-3</v>
      </c>
      <c r="BA51">
        <v>1.8589640878805499E-3</v>
      </c>
      <c r="BB51">
        <v>3.2598303586446899E-3</v>
      </c>
      <c r="BC51">
        <v>8.7981629247755699E-4</v>
      </c>
      <c r="BD51">
        <v>0</v>
      </c>
      <c r="BE51">
        <v>3.3402579014427201E-4</v>
      </c>
      <c r="BF51">
        <v>0</v>
      </c>
      <c r="BG51">
        <v>3.1334155908328398E-4</v>
      </c>
      <c r="BH51">
        <v>1.5472731883240799E-3</v>
      </c>
      <c r="BI51">
        <v>7.3471008291969505E-4</v>
      </c>
      <c r="BJ51">
        <v>8.9915176267980998E-4</v>
      </c>
      <c r="BK51">
        <v>4.0062680172059601E-4</v>
      </c>
      <c r="BL51">
        <v>9.6559720502167401E-4</v>
      </c>
      <c r="BM51">
        <v>4.5657486565769999E-4</v>
      </c>
      <c r="BN51">
        <v>7.6751699364712702E-4</v>
      </c>
      <c r="BO51">
        <v>1.10357283103144E-3</v>
      </c>
      <c r="BP51">
        <v>1.12774782972507E-3</v>
      </c>
      <c r="BQ51">
        <v>1.03911113811337E-3</v>
      </c>
      <c r="BR51">
        <v>1.47157025225861E-3</v>
      </c>
      <c r="BS51">
        <v>3.0133529292930198E-4</v>
      </c>
      <c r="BT51">
        <v>4.8450359070618401E-4</v>
      </c>
      <c r="BU51">
        <v>3.8508180604340201E-4</v>
      </c>
      <c r="BV51">
        <v>1.02791215122217E-4</v>
      </c>
      <c r="BW51">
        <v>5.5659589627406105E-4</v>
      </c>
      <c r="BX51">
        <v>4.9433458960553098E-4</v>
      </c>
      <c r="BY51">
        <v>2.9679460345055002E-4</v>
      </c>
      <c r="BZ51">
        <v>8.2195492118390103E-4</v>
      </c>
      <c r="CA51">
        <v>6.9722989499508396E-4</v>
      </c>
      <c r="CB51">
        <v>9.9964086123126403E-4</v>
      </c>
      <c r="CC51">
        <v>8.3606491713970096E-4</v>
      </c>
      <c r="CD51">
        <v>5.0271981090189803E-4</v>
      </c>
      <c r="CE51">
        <v>7.5297056644782901E-4</v>
      </c>
      <c r="CF51">
        <v>1.28578098845789E-3</v>
      </c>
      <c r="CG51">
        <v>1.4092725734783801E-3</v>
      </c>
      <c r="CH51">
        <v>1.8288159467882701E-3</v>
      </c>
      <c r="CI51">
        <v>1.2392930095819199E-3</v>
      </c>
      <c r="CJ51">
        <f>MAX(E51:CI51)</f>
        <v>3.2598303586446899E-3</v>
      </c>
    </row>
    <row r="52" spans="1:88" x14ac:dyDescent="0.2">
      <c r="A52" t="s">
        <v>151</v>
      </c>
      <c r="B52" t="s">
        <v>152</v>
      </c>
      <c r="C52" t="s">
        <v>116</v>
      </c>
      <c r="D52" t="s">
        <v>89</v>
      </c>
      <c r="E52">
        <v>0</v>
      </c>
      <c r="F52">
        <v>0</v>
      </c>
      <c r="G52">
        <v>2.3976732608611199E-5</v>
      </c>
      <c r="H52">
        <v>7.3358594169032793E-5</v>
      </c>
      <c r="I52">
        <v>8.7724721877056601E-6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8.4997470220297408E-6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8.7362891561664605E-5</v>
      </c>
      <c r="AB52">
        <v>0</v>
      </c>
      <c r="AC52">
        <v>2.9719944905564801E-5</v>
      </c>
      <c r="AD52">
        <v>1.9305986581471299E-5</v>
      </c>
      <c r="AE52">
        <v>3.7706741183877702E-5</v>
      </c>
      <c r="AF52">
        <v>7.0764916735562301E-5</v>
      </c>
      <c r="AG52">
        <v>0</v>
      </c>
      <c r="AH52">
        <v>0</v>
      </c>
      <c r="AI52">
        <v>0</v>
      </c>
      <c r="AJ52">
        <v>1.7924291575821101E-5</v>
      </c>
      <c r="AK52">
        <v>0</v>
      </c>
      <c r="AL52">
        <v>1.70652242652737E-5</v>
      </c>
      <c r="AM52">
        <v>1.0824902665790899E-5</v>
      </c>
      <c r="AN52">
        <v>0</v>
      </c>
      <c r="AO52">
        <v>0</v>
      </c>
      <c r="AP52">
        <v>7.3730639371532703E-6</v>
      </c>
      <c r="AQ52">
        <v>0</v>
      </c>
      <c r="AR52">
        <v>0</v>
      </c>
      <c r="AS52">
        <v>0</v>
      </c>
      <c r="AT52">
        <v>0</v>
      </c>
      <c r="AU52">
        <v>1.9936457901974801E-5</v>
      </c>
      <c r="AV52">
        <v>0</v>
      </c>
      <c r="AW52">
        <v>6.4453870179452205E-5</v>
      </c>
      <c r="AX52">
        <v>1.6500799984589099E-5</v>
      </c>
      <c r="AY52">
        <v>0</v>
      </c>
      <c r="AZ52">
        <v>2.8118231357811101E-5</v>
      </c>
      <c r="BA52">
        <v>5.3675117027662799E-5</v>
      </c>
      <c r="BB52">
        <v>0</v>
      </c>
      <c r="BC52">
        <v>0</v>
      </c>
      <c r="BD52">
        <v>4.2165960734363999E-5</v>
      </c>
      <c r="BE52">
        <v>0</v>
      </c>
      <c r="BF52">
        <v>0</v>
      </c>
      <c r="BG52">
        <v>0</v>
      </c>
      <c r="BH52">
        <v>1.89721696727985E-5</v>
      </c>
      <c r="BI52">
        <v>0</v>
      </c>
      <c r="BJ52">
        <v>4.2800712624326597E-5</v>
      </c>
      <c r="BK52">
        <v>1.9112522073607801E-5</v>
      </c>
      <c r="BL52">
        <v>3.8678889796678197E-5</v>
      </c>
      <c r="BM52">
        <v>0</v>
      </c>
      <c r="BN52">
        <v>8.1314313537499692E-6</v>
      </c>
      <c r="BO52">
        <v>9.6694328107574197E-6</v>
      </c>
      <c r="BP52">
        <v>0</v>
      </c>
      <c r="BQ52">
        <v>3.1150139793708298E-5</v>
      </c>
      <c r="BR52">
        <v>2.6831132256125601E-5</v>
      </c>
      <c r="BS52">
        <v>0</v>
      </c>
      <c r="BT52">
        <v>0</v>
      </c>
      <c r="BU52">
        <v>0</v>
      </c>
      <c r="BV52">
        <v>0</v>
      </c>
      <c r="BW52">
        <v>3.0081604704817001E-5</v>
      </c>
      <c r="BX52">
        <v>1.2761508086272899E-5</v>
      </c>
      <c r="BY52">
        <v>0</v>
      </c>
      <c r="BZ52">
        <v>0</v>
      </c>
      <c r="CA52">
        <v>0</v>
      </c>
      <c r="CB52">
        <v>5.3248331009097003E-6</v>
      </c>
      <c r="CC52">
        <v>4.6759084555415801E-5</v>
      </c>
      <c r="CD52">
        <v>0</v>
      </c>
      <c r="CE52">
        <v>2.4775989026728898E-5</v>
      </c>
      <c r="CF52">
        <v>4.7903362600170503E-5</v>
      </c>
      <c r="CG52">
        <v>2.5528776431107501E-5</v>
      </c>
      <c r="CH52">
        <v>0</v>
      </c>
      <c r="CI52">
        <v>0</v>
      </c>
      <c r="CJ52">
        <f>MAX(E52:CI52)</f>
        <v>8.7362891561664605E-5</v>
      </c>
    </row>
    <row r="53" spans="1:88" x14ac:dyDescent="0.2">
      <c r="A53" t="s">
        <v>153</v>
      </c>
      <c r="B53" t="s">
        <v>153</v>
      </c>
      <c r="C53" t="s">
        <v>116</v>
      </c>
      <c r="D53" t="s">
        <v>89</v>
      </c>
      <c r="E53">
        <v>0</v>
      </c>
      <c r="F53">
        <v>0</v>
      </c>
      <c r="G53">
        <v>0</v>
      </c>
      <c r="H53">
        <v>1.0410965324795799E-4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4.5137343951736103E-5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1.4431982713362901E-5</v>
      </c>
      <c r="AC53">
        <v>0</v>
      </c>
      <c r="AD53">
        <v>0</v>
      </c>
      <c r="AE53">
        <v>1.2333348403108501E-4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1.7296849235798E-4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1.9535521086606798E-5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f>MAX(E53:CI53)</f>
        <v>1.7296849235798E-4</v>
      </c>
    </row>
    <row r="54" spans="1:88" x14ac:dyDescent="0.2">
      <c r="A54" t="s">
        <v>154</v>
      </c>
      <c r="B54" t="s">
        <v>154</v>
      </c>
      <c r="C54" t="s">
        <v>155</v>
      </c>
      <c r="D54" t="s">
        <v>89</v>
      </c>
      <c r="E54">
        <v>2.8447624056364301E-5</v>
      </c>
      <c r="F54">
        <v>0</v>
      </c>
      <c r="G54">
        <v>1.4982007150091101E-4</v>
      </c>
      <c r="H54">
        <v>5.9854113107851205E-4</v>
      </c>
      <c r="I54">
        <v>2.10998807108148E-4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1.7868290312713301E-5</v>
      </c>
      <c r="Q54">
        <v>1.2362263605790699E-4</v>
      </c>
      <c r="R54">
        <v>1.25595766287911E-5</v>
      </c>
      <c r="S54">
        <v>0</v>
      </c>
      <c r="T54">
        <v>3.3351855461503298E-4</v>
      </c>
      <c r="U54">
        <v>7.3828322388648097E-5</v>
      </c>
      <c r="V54">
        <v>2.3271265445183901E-4</v>
      </c>
      <c r="W54">
        <v>0</v>
      </c>
      <c r="X54">
        <v>0</v>
      </c>
      <c r="Y54">
        <v>0</v>
      </c>
      <c r="Z54">
        <v>4.0636378796953299E-5</v>
      </c>
      <c r="AA54">
        <v>0</v>
      </c>
      <c r="AB54">
        <v>5.6008765447663901E-5</v>
      </c>
      <c r="AC54">
        <v>0</v>
      </c>
      <c r="AD54">
        <v>0</v>
      </c>
      <c r="AE54">
        <v>5.1262289624916799E-4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6.1806193894731404E-4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1.03750213717871E-5</v>
      </c>
      <c r="BB54">
        <v>1.06234113950984E-5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4.23199357808857E-4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7.1775297289974098E-6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f>MAX(E54:CI54)</f>
        <v>6.1806193894731404E-4</v>
      </c>
    </row>
    <row r="55" spans="1:88" x14ac:dyDescent="0.2">
      <c r="A55" t="s">
        <v>156</v>
      </c>
      <c r="B55" t="s">
        <v>156</v>
      </c>
      <c r="C55" t="s">
        <v>155</v>
      </c>
      <c r="D55" t="s">
        <v>89</v>
      </c>
      <c r="E55">
        <v>2.7289652154298499E-5</v>
      </c>
      <c r="F55">
        <v>1.5083078800682299E-5</v>
      </c>
      <c r="G55">
        <v>4.6091835156651897E-6</v>
      </c>
      <c r="H55">
        <v>1.46661458636112E-5</v>
      </c>
      <c r="I55">
        <v>1.2776591219914499E-5</v>
      </c>
      <c r="J55">
        <v>4.8122258312641701E-5</v>
      </c>
      <c r="K55">
        <v>0</v>
      </c>
      <c r="L55">
        <v>0</v>
      </c>
      <c r="M55">
        <v>1.42734513790825E-5</v>
      </c>
      <c r="N55">
        <v>0</v>
      </c>
      <c r="O55">
        <v>0</v>
      </c>
      <c r="P55">
        <v>0</v>
      </c>
      <c r="Q55">
        <v>1.73635691117252E-5</v>
      </c>
      <c r="R55">
        <v>2.7025142959942502E-5</v>
      </c>
      <c r="S55">
        <v>0</v>
      </c>
      <c r="T55">
        <v>0</v>
      </c>
      <c r="U55">
        <v>0</v>
      </c>
      <c r="V55">
        <v>0</v>
      </c>
      <c r="W55">
        <v>0</v>
      </c>
      <c r="X55">
        <v>1.80826051837038E-5</v>
      </c>
      <c r="Y55">
        <v>7.2242705166885297E-5</v>
      </c>
      <c r="Z55">
        <v>0</v>
      </c>
      <c r="AA55">
        <v>4.8572784421690602E-5</v>
      </c>
      <c r="AB55">
        <v>1.6946343295214399E-5</v>
      </c>
      <c r="AC55">
        <v>0</v>
      </c>
      <c r="AD55">
        <v>0</v>
      </c>
      <c r="AE55">
        <v>8.6682015334529007E-6</v>
      </c>
      <c r="AF55">
        <v>0</v>
      </c>
      <c r="AG55">
        <v>3.2480447192537497E-5</v>
      </c>
      <c r="AH55">
        <v>1.0336821100542501E-5</v>
      </c>
      <c r="AI55">
        <v>1.7492263063057199E-5</v>
      </c>
      <c r="AJ55">
        <v>9.1704574473526503E-6</v>
      </c>
      <c r="AK55">
        <v>1.6991119721891201E-5</v>
      </c>
      <c r="AL55">
        <v>0</v>
      </c>
      <c r="AM55">
        <v>1.8616455647773899E-5</v>
      </c>
      <c r="AN55">
        <v>3.1512655374690998E-5</v>
      </c>
      <c r="AO55">
        <v>0</v>
      </c>
      <c r="AP55">
        <v>1.2622721490904E-5</v>
      </c>
      <c r="AQ55">
        <v>7.6860994592722897E-4</v>
      </c>
      <c r="AR55">
        <v>1.80541480709074E-5</v>
      </c>
      <c r="AS55">
        <v>4.2083320535591698E-5</v>
      </c>
      <c r="AT55">
        <v>0</v>
      </c>
      <c r="AU55">
        <v>2.5567602164322899E-5</v>
      </c>
      <c r="AV55">
        <v>0</v>
      </c>
      <c r="AW55">
        <v>0</v>
      </c>
      <c r="AX55">
        <v>0</v>
      </c>
      <c r="AY55">
        <v>3.3336730181659901E-5</v>
      </c>
      <c r="AZ55">
        <v>1.07297598046224E-5</v>
      </c>
      <c r="BA55">
        <v>0</v>
      </c>
      <c r="BB55">
        <v>1.4052642567137799E-5</v>
      </c>
      <c r="BC55">
        <v>0</v>
      </c>
      <c r="BD55">
        <v>1.10524103276958E-5</v>
      </c>
      <c r="BE55">
        <v>1.03833382040828E-5</v>
      </c>
      <c r="BF55">
        <v>0</v>
      </c>
      <c r="BG55">
        <v>0</v>
      </c>
      <c r="BH55">
        <v>2.5098629057152901E-5</v>
      </c>
      <c r="BI55">
        <v>2.4102106436901001E-5</v>
      </c>
      <c r="BJ55">
        <v>1.2422213809700001E-5</v>
      </c>
      <c r="BK55">
        <v>0</v>
      </c>
      <c r="BL55">
        <v>9.1739422094589001E-6</v>
      </c>
      <c r="BM55">
        <v>0</v>
      </c>
      <c r="BN55">
        <v>0</v>
      </c>
      <c r="BO55">
        <v>1.1533895173996699E-5</v>
      </c>
      <c r="BP55">
        <v>1.6569789834010299E-5</v>
      </c>
      <c r="BQ55">
        <v>7.6234753434312304E-6</v>
      </c>
      <c r="BR55">
        <v>0</v>
      </c>
      <c r="BS55">
        <v>0</v>
      </c>
      <c r="BT55">
        <v>4.9552891337771498E-5</v>
      </c>
      <c r="BU55">
        <v>0</v>
      </c>
      <c r="BV55">
        <v>0</v>
      </c>
      <c r="BW55">
        <v>2.4425417737073402E-5</v>
      </c>
      <c r="BX55">
        <v>8.4993360327598601E-6</v>
      </c>
      <c r="BY55">
        <v>8.0891334458486892E-6</v>
      </c>
      <c r="BZ55">
        <v>0</v>
      </c>
      <c r="CA55">
        <v>6.2955256829576401E-6</v>
      </c>
      <c r="CB55">
        <v>0</v>
      </c>
      <c r="CC55">
        <v>1.9227198059622699E-5</v>
      </c>
      <c r="CD55">
        <v>0</v>
      </c>
      <c r="CE55">
        <v>1.29287637627044E-5</v>
      </c>
      <c r="CF55">
        <v>0</v>
      </c>
      <c r="CG55">
        <v>8.6644300518264698E-6</v>
      </c>
      <c r="CH55">
        <v>6.3651698942388305E-5</v>
      </c>
      <c r="CI55">
        <v>0</v>
      </c>
      <c r="CJ55">
        <f>MAX(E55:CI55)</f>
        <v>7.6860994592722897E-4</v>
      </c>
    </row>
    <row r="56" spans="1:88" x14ac:dyDescent="0.2">
      <c r="A56" t="s">
        <v>157</v>
      </c>
      <c r="B56" t="s">
        <v>158</v>
      </c>
      <c r="C56" t="s">
        <v>116</v>
      </c>
      <c r="D56" t="s">
        <v>89</v>
      </c>
      <c r="E56">
        <v>0</v>
      </c>
      <c r="F56">
        <v>2.8083678977354601E-5</v>
      </c>
      <c r="G56">
        <v>0</v>
      </c>
      <c r="H56">
        <v>7.5103123592985897E-6</v>
      </c>
      <c r="I56">
        <v>0</v>
      </c>
      <c r="J56">
        <v>0</v>
      </c>
      <c r="K56">
        <v>1.5595525028269501E-4</v>
      </c>
      <c r="L56">
        <v>0</v>
      </c>
      <c r="M56">
        <v>1.43409525878403E-5</v>
      </c>
      <c r="N56">
        <v>0</v>
      </c>
      <c r="O56">
        <v>0</v>
      </c>
      <c r="P56">
        <v>7.9210727130496706E-5</v>
      </c>
      <c r="Q56">
        <v>0</v>
      </c>
      <c r="R56">
        <v>0</v>
      </c>
      <c r="S56">
        <v>1.5034361894258601E-4</v>
      </c>
      <c r="T56">
        <v>2.05139834119272E-5</v>
      </c>
      <c r="U56">
        <v>3.6300282093533897E-5</v>
      </c>
      <c r="V56">
        <v>0</v>
      </c>
      <c r="W56">
        <v>0</v>
      </c>
      <c r="X56">
        <v>1.30040910018052E-5</v>
      </c>
      <c r="Y56">
        <v>7.022584926892E-5</v>
      </c>
      <c r="Z56">
        <v>0</v>
      </c>
      <c r="AA56">
        <v>9.4402827014150401E-6</v>
      </c>
      <c r="AB56">
        <v>0</v>
      </c>
      <c r="AC56">
        <v>1.11815754851625E-5</v>
      </c>
      <c r="AD56">
        <v>2.4999481424529899E-5</v>
      </c>
      <c r="AE56">
        <v>0</v>
      </c>
      <c r="AF56">
        <v>0</v>
      </c>
      <c r="AG56">
        <v>6.7865647966753795E-5</v>
      </c>
      <c r="AH56">
        <v>1.16434048910169E-5</v>
      </c>
      <c r="AI56">
        <v>0</v>
      </c>
      <c r="AJ56">
        <v>0</v>
      </c>
      <c r="AK56">
        <v>3.4553098643456501E-5</v>
      </c>
      <c r="AL56">
        <v>0</v>
      </c>
      <c r="AM56">
        <v>0</v>
      </c>
      <c r="AN56">
        <v>0</v>
      </c>
      <c r="AO56">
        <v>0</v>
      </c>
      <c r="AP56">
        <v>1.93680991634585E-5</v>
      </c>
      <c r="AQ56">
        <v>0</v>
      </c>
      <c r="AR56">
        <v>0</v>
      </c>
      <c r="AS56">
        <v>0</v>
      </c>
      <c r="AT56">
        <v>1.1551356836889799E-5</v>
      </c>
      <c r="AU56">
        <v>0</v>
      </c>
      <c r="AV56">
        <v>0</v>
      </c>
      <c r="AW56">
        <v>4.2049903163440598E-5</v>
      </c>
      <c r="AX56">
        <v>0</v>
      </c>
      <c r="AY56">
        <v>0</v>
      </c>
      <c r="AZ56">
        <v>0</v>
      </c>
      <c r="BA56">
        <v>2.61291330308252E-5</v>
      </c>
      <c r="BB56">
        <v>0</v>
      </c>
      <c r="BC56">
        <v>0</v>
      </c>
      <c r="BD56">
        <v>0</v>
      </c>
      <c r="BE56">
        <v>0</v>
      </c>
      <c r="BF56">
        <v>2.08140215558969E-5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2.4282086395790501E-5</v>
      </c>
      <c r="BP56">
        <v>2.2817496889562799E-5</v>
      </c>
      <c r="BQ56">
        <v>1.25410240298521E-5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7.5039339032412097E-6</v>
      </c>
      <c r="CA56">
        <v>0</v>
      </c>
      <c r="CB56">
        <v>4.5093713370758302E-5</v>
      </c>
      <c r="CC56">
        <v>5.7430156532187302E-5</v>
      </c>
      <c r="CD56">
        <v>2.7926210031412201E-5</v>
      </c>
      <c r="CE56">
        <v>0</v>
      </c>
      <c r="CF56">
        <v>0</v>
      </c>
      <c r="CG56">
        <v>0</v>
      </c>
      <c r="CH56">
        <v>1.9356061797617498E-5</v>
      </c>
      <c r="CI56">
        <v>0</v>
      </c>
      <c r="CJ56">
        <f>MAX(E56:CI56)</f>
        <v>1.5595525028269501E-4</v>
      </c>
    </row>
    <row r="57" spans="1:88" x14ac:dyDescent="0.2">
      <c r="A57" t="s">
        <v>159</v>
      </c>
      <c r="B57" t="s">
        <v>159</v>
      </c>
      <c r="C57" t="s">
        <v>118</v>
      </c>
      <c r="D57" t="s">
        <v>119</v>
      </c>
      <c r="E57">
        <v>1.5182664664954899E-4</v>
      </c>
      <c r="F57">
        <v>2.7312408539251898E-4</v>
      </c>
      <c r="G57">
        <v>2.2961327869342E-4</v>
      </c>
      <c r="H57">
        <v>6.2138819734126698E-4</v>
      </c>
      <c r="I57">
        <v>3.1028086964491399E-4</v>
      </c>
      <c r="J57">
        <v>5.0882448300137902E-5</v>
      </c>
      <c r="K57">
        <v>0</v>
      </c>
      <c r="L57">
        <v>0</v>
      </c>
      <c r="M57">
        <v>0</v>
      </c>
      <c r="N57">
        <v>0</v>
      </c>
      <c r="O57">
        <v>0</v>
      </c>
      <c r="P57">
        <v>1.51213651206015E-5</v>
      </c>
      <c r="Q57">
        <v>1.2907822956609301E-3</v>
      </c>
      <c r="R57">
        <v>1.95050469488327E-5</v>
      </c>
      <c r="S57">
        <v>5.0656595661448698E-5</v>
      </c>
      <c r="T57">
        <v>1.17362404858275E-4</v>
      </c>
      <c r="U57">
        <v>6.3625762496840707E-5</v>
      </c>
      <c r="V57">
        <v>8.0258123248778696E-4</v>
      </c>
      <c r="W57">
        <v>7.5591158268210402E-5</v>
      </c>
      <c r="X57">
        <v>2.8547428901409298E-5</v>
      </c>
      <c r="Y57">
        <v>0</v>
      </c>
      <c r="Z57">
        <v>0</v>
      </c>
      <c r="AA57">
        <v>0</v>
      </c>
      <c r="AB57">
        <v>4.8679151536828498E-4</v>
      </c>
      <c r="AC57">
        <v>0</v>
      </c>
      <c r="AD57">
        <v>0</v>
      </c>
      <c r="AE57">
        <v>4.46155242003414E-4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4.6467788074060802E-3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2.4250516898437501E-4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f>MAX(E57:CI57)</f>
        <v>4.6467788074060802E-3</v>
      </c>
    </row>
    <row r="58" spans="1:88" x14ac:dyDescent="0.2">
      <c r="A58" t="s">
        <v>160</v>
      </c>
      <c r="B58" t="s">
        <v>160</v>
      </c>
      <c r="C58" t="s">
        <v>118</v>
      </c>
      <c r="D58" t="s">
        <v>119</v>
      </c>
      <c r="E58">
        <v>0</v>
      </c>
      <c r="F58">
        <v>9.4409130970345799E-5</v>
      </c>
      <c r="G58">
        <v>1.72819203818276E-4</v>
      </c>
      <c r="H58">
        <v>1.3454110801524199E-5</v>
      </c>
      <c r="I58">
        <v>1.3401765052111701E-4</v>
      </c>
      <c r="J58">
        <v>4.7229788416879598E-5</v>
      </c>
      <c r="K58">
        <v>2.8399062270811101E-4</v>
      </c>
      <c r="L58">
        <v>7.3059719419001998E-5</v>
      </c>
      <c r="M58">
        <v>0</v>
      </c>
      <c r="N58">
        <v>0</v>
      </c>
      <c r="O58">
        <v>4.76420016702834E-5</v>
      </c>
      <c r="P58">
        <v>3.4031727885919398E-5</v>
      </c>
      <c r="Q58">
        <v>3.6423107867377397E-5</v>
      </c>
      <c r="R58">
        <v>4.2044384587227203E-5</v>
      </c>
      <c r="S58">
        <v>2.8809916528973499E-5</v>
      </c>
      <c r="T58">
        <v>0</v>
      </c>
      <c r="U58">
        <v>8.8302703446906705E-5</v>
      </c>
      <c r="V58">
        <v>3.9518822872977301E-5</v>
      </c>
      <c r="W58">
        <v>1.1080133677043399E-4</v>
      </c>
      <c r="X58">
        <v>2.58469319849911E-5</v>
      </c>
      <c r="Y58">
        <v>0</v>
      </c>
      <c r="Z58">
        <v>0</v>
      </c>
      <c r="AA58">
        <v>3.2081450807957201E-4</v>
      </c>
      <c r="AB58">
        <v>1.1274180925513099E-5</v>
      </c>
      <c r="AC58">
        <v>7.09350697319839E-4</v>
      </c>
      <c r="AD58">
        <v>6.1348224757178102E-5</v>
      </c>
      <c r="AE58">
        <v>0</v>
      </c>
      <c r="AF58">
        <v>1.3175860861811499E-4</v>
      </c>
      <c r="AG58">
        <v>1.1811308146131201E-4</v>
      </c>
      <c r="AH58">
        <v>1.3727833400949E-4</v>
      </c>
      <c r="AI58">
        <v>0</v>
      </c>
      <c r="AJ58">
        <v>5.38753370287799E-5</v>
      </c>
      <c r="AK58">
        <v>1.44882856530276E-4</v>
      </c>
      <c r="AL58">
        <v>0</v>
      </c>
      <c r="AM58">
        <v>2.2456392994823899E-4</v>
      </c>
      <c r="AN58">
        <v>0</v>
      </c>
      <c r="AO58">
        <v>0</v>
      </c>
      <c r="AP58">
        <v>5.0566745135470297E-5</v>
      </c>
      <c r="AQ58">
        <v>4.9006422511681995E-4</v>
      </c>
      <c r="AR58">
        <v>2.50684798970638E-5</v>
      </c>
      <c r="AS58">
        <v>3.97758986161503E-4</v>
      </c>
      <c r="AT58">
        <v>0</v>
      </c>
      <c r="AU58">
        <v>2.9831768488911898E-4</v>
      </c>
      <c r="AV58">
        <v>1.06629408481888E-4</v>
      </c>
      <c r="AW58">
        <v>0</v>
      </c>
      <c r="AX58">
        <v>2.0505435623448099E-4</v>
      </c>
      <c r="AY58">
        <v>0</v>
      </c>
      <c r="AZ58">
        <v>2.0075159292177699E-4</v>
      </c>
      <c r="BA58">
        <v>1.44843829990071E-4</v>
      </c>
      <c r="BB58">
        <v>1.73408746934297E-4</v>
      </c>
      <c r="BC58">
        <v>0</v>
      </c>
      <c r="BD58">
        <v>0</v>
      </c>
      <c r="BE58">
        <v>2.2541924974380201E-5</v>
      </c>
      <c r="BF58">
        <v>0</v>
      </c>
      <c r="BG58">
        <v>0</v>
      </c>
      <c r="BH58">
        <v>0</v>
      </c>
      <c r="BI58">
        <v>9.0687619070580505E-5</v>
      </c>
      <c r="BJ58">
        <v>1.3142772791383599E-4</v>
      </c>
      <c r="BK58">
        <v>6.2795713592412005E-5</v>
      </c>
      <c r="BL58">
        <v>1.7180270601636701E-4</v>
      </c>
      <c r="BM58">
        <v>8.28478037502699E-5</v>
      </c>
      <c r="BN58">
        <v>0</v>
      </c>
      <c r="BO58">
        <v>1.15983443867102E-4</v>
      </c>
      <c r="BP58">
        <v>0</v>
      </c>
      <c r="BQ58">
        <v>1.7819560974572599E-4</v>
      </c>
      <c r="BR58">
        <v>2.3903087430290901E-4</v>
      </c>
      <c r="BS58">
        <v>1.17389161363277E-4</v>
      </c>
      <c r="BT58">
        <v>3.4293593845325998E-4</v>
      </c>
      <c r="BU58">
        <v>0</v>
      </c>
      <c r="BV58">
        <v>0</v>
      </c>
      <c r="BW58">
        <v>1.45155334196777E-4</v>
      </c>
      <c r="BX58">
        <v>6.05156914660439E-5</v>
      </c>
      <c r="BY58">
        <v>0</v>
      </c>
      <c r="BZ58">
        <v>1.33657089577392E-4</v>
      </c>
      <c r="CA58">
        <v>1.3512104645440601E-4</v>
      </c>
      <c r="CB58">
        <v>7.51730203569414E-5</v>
      </c>
      <c r="CC58">
        <v>2.05149281375281E-4</v>
      </c>
      <c r="CD58">
        <v>1.00840270039426E-4</v>
      </c>
      <c r="CE58">
        <v>0</v>
      </c>
      <c r="CF58">
        <v>1.9237516263739799E-4</v>
      </c>
      <c r="CG58">
        <v>4.2722336854929998E-4</v>
      </c>
      <c r="CH58">
        <v>6.9053071359327902E-5</v>
      </c>
      <c r="CI58">
        <v>1.4347360144013901E-4</v>
      </c>
      <c r="CJ58">
        <f>MAX(E58:CI58)</f>
        <v>7.09350697319839E-4</v>
      </c>
    </row>
    <row r="59" spans="1:88" x14ac:dyDescent="0.2">
      <c r="A59" t="s">
        <v>161</v>
      </c>
      <c r="B59" t="s">
        <v>162</v>
      </c>
      <c r="C59" t="s">
        <v>116</v>
      </c>
      <c r="D59" t="s">
        <v>89</v>
      </c>
      <c r="E59">
        <v>0</v>
      </c>
      <c r="F59">
        <v>0</v>
      </c>
      <c r="G59">
        <v>4.5222649171392501E-6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8.3841106246110101E-6</v>
      </c>
      <c r="AM59">
        <v>0</v>
      </c>
      <c r="AN59">
        <v>2.42693419034481E-5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f>MAX(E59:CI59)</f>
        <v>2.42693419034481E-5</v>
      </c>
    </row>
    <row r="60" spans="1:88" x14ac:dyDescent="0.2">
      <c r="A60" t="s">
        <v>163</v>
      </c>
      <c r="B60" t="s">
        <v>164</v>
      </c>
      <c r="C60" t="s">
        <v>116</v>
      </c>
      <c r="D60" t="s">
        <v>89</v>
      </c>
      <c r="E60">
        <v>0</v>
      </c>
      <c r="F60">
        <v>0</v>
      </c>
      <c r="G60">
        <v>0</v>
      </c>
      <c r="H60">
        <v>2.80799286542748E-4</v>
      </c>
      <c r="I60">
        <v>0</v>
      </c>
      <c r="J60">
        <v>3.6587269551151101E-5</v>
      </c>
      <c r="K60">
        <v>0</v>
      </c>
      <c r="L60">
        <v>0</v>
      </c>
      <c r="M60">
        <v>0</v>
      </c>
      <c r="N60">
        <v>0</v>
      </c>
      <c r="O60">
        <v>0</v>
      </c>
      <c r="P60">
        <v>5.1728394574852897E-5</v>
      </c>
      <c r="Q60">
        <v>0</v>
      </c>
      <c r="R60">
        <v>0</v>
      </c>
      <c r="S60">
        <v>1.04199107715262E-5</v>
      </c>
      <c r="T60">
        <v>0</v>
      </c>
      <c r="U60">
        <v>0</v>
      </c>
      <c r="V60">
        <v>0</v>
      </c>
      <c r="W60">
        <v>8.8854003374402794E-5</v>
      </c>
      <c r="X60">
        <v>1.5864266614439499E-5</v>
      </c>
      <c r="Y60">
        <v>3.4010811942568797E-5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2.4381420236099299E-5</v>
      </c>
      <c r="AG60">
        <v>4.14174159893598E-5</v>
      </c>
      <c r="AH60">
        <v>0</v>
      </c>
      <c r="AI60">
        <v>2.7139197404834302E-4</v>
      </c>
      <c r="AJ60">
        <v>0</v>
      </c>
      <c r="AK60">
        <v>1.8090476239595599E-5</v>
      </c>
      <c r="AL60">
        <v>0</v>
      </c>
      <c r="AM60">
        <v>0</v>
      </c>
      <c r="AN60">
        <v>2.1589669793411299E-4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1.32448791491946E-5</v>
      </c>
      <c r="AW60">
        <v>0</v>
      </c>
      <c r="AX60">
        <v>0</v>
      </c>
      <c r="AY60">
        <v>0</v>
      </c>
      <c r="AZ60">
        <v>8.5642039275558206E-5</v>
      </c>
      <c r="BA60">
        <v>1.2335506884364E-5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1.6651026040332099E-5</v>
      </c>
      <c r="BL60">
        <v>0</v>
      </c>
      <c r="BM60">
        <v>6.0884255528000399E-5</v>
      </c>
      <c r="BN60">
        <v>0</v>
      </c>
      <c r="BO60">
        <v>2.1492948595908001E-4</v>
      </c>
      <c r="BP60">
        <v>0</v>
      </c>
      <c r="BQ60">
        <v>0</v>
      </c>
      <c r="BR60">
        <v>4.5412875302960102E-5</v>
      </c>
      <c r="BS60">
        <v>0</v>
      </c>
      <c r="BT60">
        <v>0</v>
      </c>
      <c r="BU60">
        <v>9.5285320698148098E-6</v>
      </c>
      <c r="BV60">
        <v>0</v>
      </c>
      <c r="BW60">
        <v>0</v>
      </c>
      <c r="BX60">
        <v>1.6106975570959599E-5</v>
      </c>
      <c r="BY60">
        <v>0</v>
      </c>
      <c r="BZ60">
        <v>0</v>
      </c>
      <c r="CA60">
        <v>2.4391864567322499E-5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1.78388970849766E-4</v>
      </c>
      <c r="CH60">
        <v>0</v>
      </c>
      <c r="CI60">
        <v>0</v>
      </c>
      <c r="CJ60">
        <f>MAX(E60:CI60)</f>
        <v>2.80799286542748E-4</v>
      </c>
    </row>
    <row r="61" spans="1:88" x14ac:dyDescent="0.2">
      <c r="A61" t="s">
        <v>165</v>
      </c>
      <c r="B61" t="s">
        <v>165</v>
      </c>
      <c r="C61" t="s">
        <v>155</v>
      </c>
      <c r="D61" t="s">
        <v>119</v>
      </c>
      <c r="E61">
        <v>7.6535513436721699E-6</v>
      </c>
      <c r="F61">
        <v>0</v>
      </c>
      <c r="G61">
        <v>0</v>
      </c>
      <c r="H61">
        <v>4.1622101120616603E-4</v>
      </c>
      <c r="I61">
        <v>7.1834653293183402E-5</v>
      </c>
      <c r="J61">
        <v>0</v>
      </c>
      <c r="K61">
        <v>2.1968833632205401E-5</v>
      </c>
      <c r="L61">
        <v>0</v>
      </c>
      <c r="M61">
        <v>1.05719475542699E-5</v>
      </c>
      <c r="N61">
        <v>0</v>
      </c>
      <c r="O61">
        <v>0</v>
      </c>
      <c r="P61">
        <v>0</v>
      </c>
      <c r="Q61">
        <v>3.4516996618563198E-4</v>
      </c>
      <c r="R61">
        <v>0</v>
      </c>
      <c r="S61">
        <v>4.3468734819062902E-5</v>
      </c>
      <c r="T61">
        <v>3.8031635318652398E-5</v>
      </c>
      <c r="U61">
        <v>5.8433782539565903E-5</v>
      </c>
      <c r="V61">
        <v>0</v>
      </c>
      <c r="W61">
        <v>0</v>
      </c>
      <c r="X61">
        <v>0</v>
      </c>
      <c r="Y61">
        <v>7.8412265184990907E-6</v>
      </c>
      <c r="Z61">
        <v>1.4138228617636401E-5</v>
      </c>
      <c r="AA61">
        <v>7.0777627371859301E-5</v>
      </c>
      <c r="AB61">
        <v>0</v>
      </c>
      <c r="AC61">
        <v>0</v>
      </c>
      <c r="AD61">
        <v>1.2425389171155001E-5</v>
      </c>
      <c r="AE61">
        <v>0</v>
      </c>
      <c r="AF61">
        <v>0</v>
      </c>
      <c r="AG61">
        <v>0</v>
      </c>
      <c r="AH61">
        <v>1.20891843427176E-5</v>
      </c>
      <c r="AI61">
        <v>2.2079437244363701E-5</v>
      </c>
      <c r="AJ61">
        <v>0</v>
      </c>
      <c r="AK61">
        <v>1.4388482734564201E-5</v>
      </c>
      <c r="AL61">
        <v>0</v>
      </c>
      <c r="AM61">
        <v>1.17258139747814E-5</v>
      </c>
      <c r="AN61">
        <v>0</v>
      </c>
      <c r="AO61">
        <v>1.0976705185586801E-5</v>
      </c>
      <c r="AP61">
        <v>0</v>
      </c>
      <c r="AQ61">
        <v>0</v>
      </c>
      <c r="AR61">
        <v>0</v>
      </c>
      <c r="AS61">
        <v>2.7749106261432401E-5</v>
      </c>
      <c r="AT61">
        <v>6.1628840941966895E-4</v>
      </c>
      <c r="AU61">
        <v>2.4875796766455098E-5</v>
      </c>
      <c r="AV61">
        <v>3.3551118275665301E-5</v>
      </c>
      <c r="AW61">
        <v>6.5108996232523397E-5</v>
      </c>
      <c r="AX61">
        <v>3.3452763482498201E-5</v>
      </c>
      <c r="AY61">
        <v>1.03390824818337E-4</v>
      </c>
      <c r="AZ61">
        <v>4.2454721863181199E-5</v>
      </c>
      <c r="BA61">
        <v>0</v>
      </c>
      <c r="BB61">
        <v>4.18577615862059E-5</v>
      </c>
      <c r="BC61">
        <v>9.1236160387970895E-5</v>
      </c>
      <c r="BD61">
        <v>7.2703279255726302E-5</v>
      </c>
      <c r="BE61">
        <v>8.5796782203616504E-6</v>
      </c>
      <c r="BF61">
        <v>0</v>
      </c>
      <c r="BG61">
        <v>0</v>
      </c>
      <c r="BH61">
        <v>5.3528490933906998E-5</v>
      </c>
      <c r="BI61">
        <v>1.06530017901273E-4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4.8908799173812698E-5</v>
      </c>
      <c r="BQ61">
        <v>0</v>
      </c>
      <c r="BR61">
        <v>9.7997275117549799E-5</v>
      </c>
      <c r="BS61">
        <v>1.4513461326033701E-5</v>
      </c>
      <c r="BT61">
        <v>0</v>
      </c>
      <c r="BU61">
        <v>0</v>
      </c>
      <c r="BV61">
        <v>0</v>
      </c>
      <c r="BW61">
        <v>1.8597561348204301E-5</v>
      </c>
      <c r="BX61">
        <v>0</v>
      </c>
      <c r="BY61">
        <v>4.53100978430736E-5</v>
      </c>
      <c r="BZ61">
        <v>0</v>
      </c>
      <c r="CA61">
        <v>2.4239295880671099E-4</v>
      </c>
      <c r="CB61">
        <v>9.9843546729609E-5</v>
      </c>
      <c r="CC61">
        <v>0</v>
      </c>
      <c r="CD61">
        <v>0</v>
      </c>
      <c r="CE61">
        <v>3.2062693245054602E-5</v>
      </c>
      <c r="CF61">
        <v>0</v>
      </c>
      <c r="CG61">
        <v>2.8826240123617599E-5</v>
      </c>
      <c r="CH61">
        <v>0</v>
      </c>
      <c r="CI61">
        <v>0</v>
      </c>
      <c r="CJ61">
        <f>MAX(E61:CI61)</f>
        <v>6.1628840941966895E-4</v>
      </c>
    </row>
    <row r="62" spans="1:88" x14ac:dyDescent="0.2">
      <c r="A62" t="s">
        <v>166</v>
      </c>
      <c r="B62" t="s">
        <v>166</v>
      </c>
      <c r="C62" t="s">
        <v>155</v>
      </c>
      <c r="D62" t="s">
        <v>119</v>
      </c>
      <c r="E62">
        <v>0</v>
      </c>
      <c r="F62">
        <v>5.77547887936173E-5</v>
      </c>
      <c r="G62">
        <v>0</v>
      </c>
      <c r="H62">
        <v>3.8729866500327597E-4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1.28563592625478E-5</v>
      </c>
      <c r="AH62">
        <v>0</v>
      </c>
      <c r="AI62">
        <v>0</v>
      </c>
      <c r="AJ62">
        <v>0</v>
      </c>
      <c r="AK62">
        <v>8.0468888027678403E-6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1.30538614829011E-5</v>
      </c>
      <c r="AT62">
        <v>9.5048222604675596E-4</v>
      </c>
      <c r="AU62">
        <v>1.2350769026789999E-5</v>
      </c>
      <c r="AV62">
        <v>1.22161962237909E-5</v>
      </c>
      <c r="AW62">
        <v>0</v>
      </c>
      <c r="AX62">
        <v>0</v>
      </c>
      <c r="AY62">
        <v>0</v>
      </c>
      <c r="AZ62">
        <v>1.10099665621887E-5</v>
      </c>
      <c r="BA62">
        <v>0</v>
      </c>
      <c r="BB62">
        <v>0</v>
      </c>
      <c r="BC62">
        <v>2.7645789697283799E-5</v>
      </c>
      <c r="BD62">
        <v>0</v>
      </c>
      <c r="BE62">
        <v>0</v>
      </c>
      <c r="BF62">
        <v>9.3606067411917297E-6</v>
      </c>
      <c r="BG62">
        <v>0</v>
      </c>
      <c r="BH62">
        <v>1.6225123082183098E-5</v>
      </c>
      <c r="BI62">
        <v>0</v>
      </c>
      <c r="BJ62">
        <v>0</v>
      </c>
      <c r="BK62">
        <v>1.6080183484492701E-5</v>
      </c>
      <c r="BL62">
        <v>1.6089183317848699E-5</v>
      </c>
      <c r="BM62">
        <v>0</v>
      </c>
      <c r="BN62">
        <v>0</v>
      </c>
      <c r="BO62">
        <v>0</v>
      </c>
      <c r="BP62">
        <v>1.58496983069421E-5</v>
      </c>
      <c r="BQ62">
        <v>0</v>
      </c>
      <c r="BR62">
        <v>0</v>
      </c>
      <c r="BS62">
        <v>9.3564693658579697E-6</v>
      </c>
      <c r="BT62">
        <v>3.8970950648262199E-5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2.7009652705849E-5</v>
      </c>
      <c r="CH62">
        <v>0</v>
      </c>
      <c r="CI62">
        <v>0</v>
      </c>
      <c r="CJ62">
        <f>MAX(E62:CI62)</f>
        <v>9.5048222604675596E-4</v>
      </c>
    </row>
    <row r="63" spans="1:88" x14ac:dyDescent="0.2">
      <c r="A63" t="s">
        <v>167</v>
      </c>
      <c r="B63" t="s">
        <v>167</v>
      </c>
      <c r="C63" t="s">
        <v>155</v>
      </c>
      <c r="D63" t="s">
        <v>89</v>
      </c>
      <c r="E63">
        <v>3.2488001759298099E-4</v>
      </c>
      <c r="F63">
        <v>0</v>
      </c>
      <c r="G63">
        <v>6.5538877674331205E-4</v>
      </c>
      <c r="H63">
        <v>0</v>
      </c>
      <c r="I63">
        <v>0</v>
      </c>
      <c r="J63">
        <v>0</v>
      </c>
      <c r="K63">
        <v>7.2074062162808396E-4</v>
      </c>
      <c r="L63">
        <v>5.5647287536763203E-4</v>
      </c>
      <c r="M63">
        <v>2.7923059387882599E-4</v>
      </c>
      <c r="N63">
        <v>3.2344243658253099E-4</v>
      </c>
      <c r="O63">
        <v>0</v>
      </c>
      <c r="P63">
        <v>2.9043035119343999E-4</v>
      </c>
      <c r="Q63">
        <v>1.3699508936379799E-4</v>
      </c>
      <c r="R63">
        <v>4.0445294308789301E-4</v>
      </c>
      <c r="S63">
        <v>6.3730452195418102E-5</v>
      </c>
      <c r="T63">
        <v>7.8778915889258095E-4</v>
      </c>
      <c r="U63">
        <v>6.1042456164540199E-4</v>
      </c>
      <c r="V63">
        <v>0</v>
      </c>
      <c r="W63">
        <v>3.5250477152300299E-4</v>
      </c>
      <c r="X63">
        <v>2.1520432739026001E-4</v>
      </c>
      <c r="Y63">
        <v>4.1468850780631699E-4</v>
      </c>
      <c r="Z63">
        <v>7.3058037176161302E-4</v>
      </c>
      <c r="AA63">
        <v>0</v>
      </c>
      <c r="AB63">
        <v>1.76133514123703E-4</v>
      </c>
      <c r="AC63">
        <v>8.13588872339521E-4</v>
      </c>
      <c r="AD63">
        <v>8.4885009188139697E-4</v>
      </c>
      <c r="AE63">
        <v>0</v>
      </c>
      <c r="AF63">
        <v>9.8478857160789806E-4</v>
      </c>
      <c r="AG63">
        <v>0</v>
      </c>
      <c r="AH63">
        <v>0</v>
      </c>
      <c r="AI63">
        <v>5.2269939810208499E-4</v>
      </c>
      <c r="AJ63">
        <v>6.6512152052835205E-4</v>
      </c>
      <c r="AK63">
        <v>7.0106453845653202E-4</v>
      </c>
      <c r="AL63">
        <v>7.2283970501911803E-4</v>
      </c>
      <c r="AM63">
        <v>4.8343378721666102E-4</v>
      </c>
      <c r="AN63">
        <v>4.9756520236490397E-4</v>
      </c>
      <c r="AO63">
        <v>0</v>
      </c>
      <c r="AP63">
        <v>0</v>
      </c>
      <c r="AQ63">
        <v>1.46144003389687E-3</v>
      </c>
      <c r="AR63">
        <v>3.48348544285331E-4</v>
      </c>
      <c r="AS63">
        <v>6.7492419933070399E-4</v>
      </c>
      <c r="AT63">
        <v>2.7001755473584201E-4</v>
      </c>
      <c r="AU63">
        <v>6.9935711888055997E-4</v>
      </c>
      <c r="AV63">
        <v>6.3297273005675603E-4</v>
      </c>
      <c r="AW63">
        <v>0</v>
      </c>
      <c r="AX63">
        <v>7.8715271911251905E-4</v>
      </c>
      <c r="AY63">
        <v>8.6308188219325305E-4</v>
      </c>
      <c r="AZ63">
        <v>1.0528027241069101E-3</v>
      </c>
      <c r="BA63">
        <v>9.7402476692066997E-4</v>
      </c>
      <c r="BB63">
        <v>1.2864028690274701E-3</v>
      </c>
      <c r="BC63">
        <v>6.5479145009572702E-4</v>
      </c>
      <c r="BD63">
        <v>1.1698737601159399E-3</v>
      </c>
      <c r="BE63">
        <v>5.3144827287377296E-4</v>
      </c>
      <c r="BF63">
        <v>0</v>
      </c>
      <c r="BG63">
        <v>3.3065797368173402E-4</v>
      </c>
      <c r="BH63">
        <v>1.37202176236334E-3</v>
      </c>
      <c r="BI63">
        <v>1.12027849684831E-3</v>
      </c>
      <c r="BJ63">
        <v>0</v>
      </c>
      <c r="BK63">
        <v>7.93244372910134E-4</v>
      </c>
      <c r="BL63">
        <v>7.0135032084268098E-4</v>
      </c>
      <c r="BM63">
        <v>6.7430906794050099E-4</v>
      </c>
      <c r="BN63">
        <v>0</v>
      </c>
      <c r="BO63">
        <v>5.6589648972451298E-4</v>
      </c>
      <c r="BP63">
        <v>9.5784447830431403E-4</v>
      </c>
      <c r="BQ63">
        <v>4.38677136585633E-4</v>
      </c>
      <c r="BR63">
        <v>6.7564256188288598E-4</v>
      </c>
      <c r="BS63">
        <v>0</v>
      </c>
      <c r="BT63">
        <v>0</v>
      </c>
      <c r="BU63">
        <v>0</v>
      </c>
      <c r="BV63">
        <v>1.6898377197591201E-4</v>
      </c>
      <c r="BW63">
        <v>6.8571397409749495E-4</v>
      </c>
      <c r="BX63">
        <v>9.8497906502636903E-4</v>
      </c>
      <c r="BY63">
        <v>6.8827183815560304E-4</v>
      </c>
      <c r="BZ63">
        <v>8.2763528902483105E-4</v>
      </c>
      <c r="CA63">
        <v>7.9709484416605296E-4</v>
      </c>
      <c r="CB63">
        <v>1.1783247503513599E-3</v>
      </c>
      <c r="CC63">
        <v>1.5232528522429599E-3</v>
      </c>
      <c r="CD63">
        <v>6.1690600824856195E-4</v>
      </c>
      <c r="CE63">
        <v>9.8881717232677407E-4</v>
      </c>
      <c r="CF63">
        <v>1.1407618793400299E-3</v>
      </c>
      <c r="CG63">
        <v>7.24749626144105E-4</v>
      </c>
      <c r="CH63">
        <v>1.0623435856435301E-3</v>
      </c>
      <c r="CI63">
        <v>0</v>
      </c>
      <c r="CJ63">
        <f>MAX(E63:CI63)</f>
        <v>1.5232528522429599E-3</v>
      </c>
    </row>
    <row r="64" spans="1:88" x14ac:dyDescent="0.2">
      <c r="A64" t="s">
        <v>168</v>
      </c>
      <c r="B64" t="s">
        <v>168</v>
      </c>
      <c r="C64" t="s">
        <v>118</v>
      </c>
      <c r="D64" t="s">
        <v>119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2.01285272548079E-5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9.8289697846471805E-6</v>
      </c>
      <c r="AB64">
        <v>0</v>
      </c>
      <c r="AC64">
        <v>0</v>
      </c>
      <c r="AD64">
        <v>0</v>
      </c>
      <c r="AE64">
        <v>2.2633045682277E-5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1.06353062453965E-5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f>MAX(E64:CI64)</f>
        <v>2.2633045682277E-5</v>
      </c>
    </row>
    <row r="65" spans="1:88" x14ac:dyDescent="0.2">
      <c r="A65" t="s">
        <v>169</v>
      </c>
      <c r="B65" t="s">
        <v>169</v>
      </c>
      <c r="C65" t="s">
        <v>155</v>
      </c>
      <c r="D65" t="s">
        <v>119</v>
      </c>
      <c r="E65">
        <v>1.21193687573412E-2</v>
      </c>
      <c r="F65">
        <v>1.6635888465631799E-3</v>
      </c>
      <c r="G65">
        <v>0</v>
      </c>
      <c r="H65">
        <v>4.48372532845406E-3</v>
      </c>
      <c r="I65">
        <v>3.76292879199176E-3</v>
      </c>
      <c r="J65">
        <v>5.9714527467787505E-4</v>
      </c>
      <c r="K65">
        <v>0</v>
      </c>
      <c r="L65">
        <v>7.33059118005003E-5</v>
      </c>
      <c r="M65">
        <v>0</v>
      </c>
      <c r="N65">
        <v>0</v>
      </c>
      <c r="O65">
        <v>7.0325851617683506E-5</v>
      </c>
      <c r="P65">
        <v>8.4006714539249202E-5</v>
      </c>
      <c r="Q65">
        <v>1.1445558777852499E-2</v>
      </c>
      <c r="R65">
        <v>3.3059402494415397E-4</v>
      </c>
      <c r="S65">
        <v>8.1823866919727604E-4</v>
      </c>
      <c r="T65">
        <v>1.1294161666279699E-3</v>
      </c>
      <c r="U65">
        <v>7.0684631787400101E-4</v>
      </c>
      <c r="V65">
        <v>4.2414660976122301E-3</v>
      </c>
      <c r="W65">
        <v>0</v>
      </c>
      <c r="X65">
        <v>6.0800198898127E-5</v>
      </c>
      <c r="Y65">
        <v>3.47196229375407E-5</v>
      </c>
      <c r="Z65">
        <v>0</v>
      </c>
      <c r="AA65">
        <v>0</v>
      </c>
      <c r="AB65">
        <v>1.92457127727455E-3</v>
      </c>
      <c r="AC65">
        <v>3.5348093900073997E-5</v>
      </c>
      <c r="AD65">
        <v>0</v>
      </c>
      <c r="AE65">
        <v>0</v>
      </c>
      <c r="AF65">
        <v>1.2746061217417E-4</v>
      </c>
      <c r="AG65">
        <v>3.2527598449667502E-5</v>
      </c>
      <c r="AH65">
        <v>0</v>
      </c>
      <c r="AI65">
        <v>2.4082302094923401E-5</v>
      </c>
      <c r="AJ65">
        <v>7.28264264664693E-5</v>
      </c>
      <c r="AK65">
        <v>6.7387756824653807E-5</v>
      </c>
      <c r="AL65">
        <v>1.8864877958973599E-5</v>
      </c>
      <c r="AM65">
        <v>0</v>
      </c>
      <c r="AN65">
        <v>0</v>
      </c>
      <c r="AO65">
        <v>6.89540850179606E-3</v>
      </c>
      <c r="AP65">
        <v>1.00000230258775E-4</v>
      </c>
      <c r="AQ65">
        <v>5.7030739108127797E-4</v>
      </c>
      <c r="AR65">
        <v>2.1682681977195998E-5</v>
      </c>
      <c r="AS65">
        <v>0</v>
      </c>
      <c r="AT65">
        <v>7.8494097419542896E-3</v>
      </c>
      <c r="AU65">
        <v>0</v>
      </c>
      <c r="AV65">
        <v>0</v>
      </c>
      <c r="AW65">
        <v>0</v>
      </c>
      <c r="AX65">
        <v>1.3221812679924501E-4</v>
      </c>
      <c r="AY65">
        <v>4.5138279354606403E-5</v>
      </c>
      <c r="AZ65">
        <v>5.89071484339432E-5</v>
      </c>
      <c r="BA65">
        <v>0</v>
      </c>
      <c r="BB65">
        <v>0</v>
      </c>
      <c r="BC65">
        <v>0</v>
      </c>
      <c r="BD65">
        <v>2.04879261489712E-5</v>
      </c>
      <c r="BE65">
        <v>5.6235945322507203E-5</v>
      </c>
      <c r="BF65">
        <v>1.0153154619933199E-4</v>
      </c>
      <c r="BG65">
        <v>0</v>
      </c>
      <c r="BH65">
        <v>0</v>
      </c>
      <c r="BI65">
        <v>3.30088200426074E-5</v>
      </c>
      <c r="BJ65">
        <v>0</v>
      </c>
      <c r="BK65">
        <v>0</v>
      </c>
      <c r="BL65">
        <v>1.20947528999577E-4</v>
      </c>
      <c r="BM65">
        <v>0</v>
      </c>
      <c r="BN65">
        <v>0</v>
      </c>
      <c r="BO65">
        <v>7.8289766900363806E-5</v>
      </c>
      <c r="BP65">
        <v>1.4905618447133299E-4</v>
      </c>
      <c r="BQ65">
        <v>0</v>
      </c>
      <c r="BR65">
        <v>9.4889028449383602E-5</v>
      </c>
      <c r="BS65">
        <v>0</v>
      </c>
      <c r="BT65">
        <v>0</v>
      </c>
      <c r="BU65">
        <v>0</v>
      </c>
      <c r="BV65">
        <v>0</v>
      </c>
      <c r="BW65">
        <v>3.0304770540604799E-5</v>
      </c>
      <c r="BX65">
        <v>0</v>
      </c>
      <c r="BY65">
        <v>1.2135788526528399E-5</v>
      </c>
      <c r="BZ65">
        <v>7.4543709389562494E-5</v>
      </c>
      <c r="CA65">
        <v>0</v>
      </c>
      <c r="CB65">
        <v>0</v>
      </c>
      <c r="CC65">
        <v>0</v>
      </c>
      <c r="CD65">
        <v>0</v>
      </c>
      <c r="CE65">
        <v>2.2255942980943701E-4</v>
      </c>
      <c r="CF65">
        <v>1.0898782858038E-4</v>
      </c>
      <c r="CG65">
        <v>9.5077334992716805E-5</v>
      </c>
      <c r="CH65">
        <v>0</v>
      </c>
      <c r="CI65">
        <v>0</v>
      </c>
      <c r="CJ65">
        <f>MAX(E65:CI65)</f>
        <v>1.21193687573412E-2</v>
      </c>
    </row>
    <row r="66" spans="1:88" x14ac:dyDescent="0.2">
      <c r="A66" t="s">
        <v>170</v>
      </c>
      <c r="B66" t="s">
        <v>171</v>
      </c>
      <c r="C66" t="s">
        <v>116</v>
      </c>
      <c r="D66" t="s">
        <v>89</v>
      </c>
      <c r="E66">
        <v>0</v>
      </c>
      <c r="F66">
        <v>0</v>
      </c>
      <c r="G66">
        <v>1.5823552780326301E-5</v>
      </c>
      <c r="H66">
        <v>3.4967453014909499E-4</v>
      </c>
      <c r="I66">
        <v>0</v>
      </c>
      <c r="J66">
        <v>0</v>
      </c>
      <c r="K66">
        <v>4.4257104804609503E-5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1.10321205802543E-5</v>
      </c>
      <c r="S66">
        <v>0</v>
      </c>
      <c r="T66">
        <v>5.8255240562698197E-5</v>
      </c>
      <c r="U66">
        <v>0</v>
      </c>
      <c r="V66">
        <v>2.5954280861769801E-5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2.9417041962206801E-5</v>
      </c>
      <c r="AD66">
        <v>1.9566718635167299E-5</v>
      </c>
      <c r="AE66">
        <v>4.8566074307059402E-5</v>
      </c>
      <c r="AF66">
        <v>3.8027432139258697E-5</v>
      </c>
      <c r="AG66">
        <v>1.24819661362669E-4</v>
      </c>
      <c r="AH66">
        <v>0</v>
      </c>
      <c r="AI66">
        <v>0</v>
      </c>
      <c r="AJ66">
        <v>4.6877991937570898E-4</v>
      </c>
      <c r="AK66">
        <v>5.3896057787922299E-4</v>
      </c>
      <c r="AL66">
        <v>4.1591444118995E-5</v>
      </c>
      <c r="AM66">
        <v>7.49490271480789E-5</v>
      </c>
      <c r="AN66">
        <v>0</v>
      </c>
      <c r="AO66">
        <v>0</v>
      </c>
      <c r="AP66">
        <v>1.42493154189606E-5</v>
      </c>
      <c r="AQ66">
        <v>0</v>
      </c>
      <c r="AR66">
        <v>6.0913282019063102E-5</v>
      </c>
      <c r="AS66">
        <v>1.15736141652623E-4</v>
      </c>
      <c r="AT66">
        <v>0</v>
      </c>
      <c r="AU66">
        <v>4.1401397410886499E-5</v>
      </c>
      <c r="AV66">
        <v>2.7497613289155999E-5</v>
      </c>
      <c r="AW66">
        <v>2.4907262623269201E-5</v>
      </c>
      <c r="AX66">
        <v>0</v>
      </c>
      <c r="AY66">
        <v>0</v>
      </c>
      <c r="AZ66">
        <v>0</v>
      </c>
      <c r="BA66">
        <v>2.4878202585615101E-5</v>
      </c>
      <c r="BB66">
        <v>0</v>
      </c>
      <c r="BC66">
        <v>0</v>
      </c>
      <c r="BD66">
        <v>0</v>
      </c>
      <c r="BE66">
        <v>0</v>
      </c>
      <c r="BF66">
        <v>3.40408189701001E-4</v>
      </c>
      <c r="BG66">
        <v>0</v>
      </c>
      <c r="BH66">
        <v>8.2222371732835499E-5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4.0654909627414997E-5</v>
      </c>
      <c r="CG66">
        <v>2.24447617630036E-4</v>
      </c>
      <c r="CH66">
        <v>0</v>
      </c>
      <c r="CI66">
        <v>0</v>
      </c>
      <c r="CJ66">
        <f>MAX(E66:CI66)</f>
        <v>5.3896057787922299E-4</v>
      </c>
    </row>
    <row r="67" spans="1:88" x14ac:dyDescent="0.2">
      <c r="A67" t="s">
        <v>172</v>
      </c>
      <c r="B67" t="s">
        <v>173</v>
      </c>
      <c r="C67" t="s">
        <v>116</v>
      </c>
      <c r="D67" t="s">
        <v>89</v>
      </c>
      <c r="E67">
        <v>1.8284917281969999E-4</v>
      </c>
      <c r="F67">
        <v>2.56614977110934E-4</v>
      </c>
      <c r="G67">
        <v>4.8554892842550101E-4</v>
      </c>
      <c r="H67">
        <v>0</v>
      </c>
      <c r="I67">
        <v>6.4537182279170703E-5</v>
      </c>
      <c r="J67">
        <v>1.4921586470605501E-4</v>
      </c>
      <c r="K67">
        <v>3.53114051640413E-4</v>
      </c>
      <c r="L67">
        <v>8.1795234155387298E-5</v>
      </c>
      <c r="M67">
        <v>8.4401079239573501E-5</v>
      </c>
      <c r="N67">
        <v>0</v>
      </c>
      <c r="O67">
        <v>4.1477827394476598E-5</v>
      </c>
      <c r="P67">
        <v>1.4179372114118301E-4</v>
      </c>
      <c r="Q67">
        <v>2.5751053432437699E-5</v>
      </c>
      <c r="R67">
        <v>2.5418212140408903E-4</v>
      </c>
      <c r="S67">
        <v>1.43354721055414E-4</v>
      </c>
      <c r="T67">
        <v>2.08744480045468E-4</v>
      </c>
      <c r="U67">
        <v>1.69580144112154E-4</v>
      </c>
      <c r="V67">
        <v>1.25960390976219E-4</v>
      </c>
      <c r="W67">
        <v>8.9966329036970805E-5</v>
      </c>
      <c r="X67">
        <v>6.5547630971698597E-5</v>
      </c>
      <c r="Y67">
        <v>5.5459378705434998E-5</v>
      </c>
      <c r="Z67">
        <v>2.5196893479915902E-4</v>
      </c>
      <c r="AA67">
        <v>4.12542788704576E-4</v>
      </c>
      <c r="AB67">
        <v>2.0224649319330201E-4</v>
      </c>
      <c r="AC67">
        <v>2.8953695319758902E-4</v>
      </c>
      <c r="AD67">
        <v>2.7479700812727502E-4</v>
      </c>
      <c r="AE67">
        <v>8.68418366632922E-5</v>
      </c>
      <c r="AF67">
        <v>1.8442933486620501E-3</v>
      </c>
      <c r="AG67">
        <v>1.38428655246518E-4</v>
      </c>
      <c r="AH67">
        <v>1.8434060139340899E-4</v>
      </c>
      <c r="AI67">
        <v>9.8541007894317501E-5</v>
      </c>
      <c r="AJ67">
        <v>3.8556357636926802E-4</v>
      </c>
      <c r="AK67">
        <v>9.3335315531446796E-5</v>
      </c>
      <c r="AL67">
        <v>2.0804055323091699E-4</v>
      </c>
      <c r="AM67">
        <v>0</v>
      </c>
      <c r="AN67">
        <v>3.7081048012194601E-4</v>
      </c>
      <c r="AO67">
        <v>9.59575166415562E-5</v>
      </c>
      <c r="AP67">
        <v>3.5979903979651998E-4</v>
      </c>
      <c r="AQ67">
        <v>0</v>
      </c>
      <c r="AR67">
        <v>3.3391044164464E-4</v>
      </c>
      <c r="AS67">
        <v>0</v>
      </c>
      <c r="AT67">
        <v>1.7870347594083199E-4</v>
      </c>
      <c r="AU67">
        <v>6.4413663474160998E-4</v>
      </c>
      <c r="AV67">
        <v>3.02827282978571E-4</v>
      </c>
      <c r="AW67">
        <v>1.7551490365261299E-3</v>
      </c>
      <c r="AX67">
        <v>5.4262525132901405E-4</v>
      </c>
      <c r="AY67">
        <v>0</v>
      </c>
      <c r="AZ67">
        <v>3.7137443150494901E-4</v>
      </c>
      <c r="BA67">
        <v>1.26489361405344E-3</v>
      </c>
      <c r="BB67">
        <v>4.1235474842738E-4</v>
      </c>
      <c r="BC67">
        <v>5.3248821446608401E-4</v>
      </c>
      <c r="BD67">
        <v>0</v>
      </c>
      <c r="BE67">
        <v>4.4096792395653499E-4</v>
      </c>
      <c r="BF67">
        <v>2.7253984212002598E-4</v>
      </c>
      <c r="BG67">
        <v>0</v>
      </c>
      <c r="BH67">
        <v>1.7293384593189699E-4</v>
      </c>
      <c r="BI67">
        <v>6.8500856227993699E-4</v>
      </c>
      <c r="BJ67">
        <v>2.5704786438745901E-4</v>
      </c>
      <c r="BK67">
        <v>2.2944996722744899E-4</v>
      </c>
      <c r="BL67">
        <v>3.29297171232411E-4</v>
      </c>
      <c r="BM67">
        <v>3.1207573353758602E-4</v>
      </c>
      <c r="BN67">
        <v>2.4771653695526002E-4</v>
      </c>
      <c r="BO67">
        <v>5.2418549597016504E-4</v>
      </c>
      <c r="BP67">
        <v>3.33032793287053E-4</v>
      </c>
      <c r="BQ67">
        <v>6.6178512308016305E-4</v>
      </c>
      <c r="BR67">
        <v>1.61501291624753E-3</v>
      </c>
      <c r="BS67">
        <v>3.7680356233534001E-4</v>
      </c>
      <c r="BT67">
        <v>1.2868294752470099E-3</v>
      </c>
      <c r="BU67">
        <v>1.18817661337551E-4</v>
      </c>
      <c r="BV67">
        <v>5.73449264429321E-5</v>
      </c>
      <c r="BW67">
        <v>0</v>
      </c>
      <c r="BX67">
        <v>6.4126863688944804E-4</v>
      </c>
      <c r="BY67">
        <v>9.8056186701885801E-5</v>
      </c>
      <c r="BZ67">
        <v>5.8685660921871201E-4</v>
      </c>
      <c r="CA67">
        <v>0</v>
      </c>
      <c r="CB67">
        <v>9.3526783782963796E-4</v>
      </c>
      <c r="CC67">
        <v>2.1683680524594201E-4</v>
      </c>
      <c r="CD67">
        <v>3.7987175219618798E-4</v>
      </c>
      <c r="CE67">
        <v>0</v>
      </c>
      <c r="CF67">
        <v>1.2284260004536899E-3</v>
      </c>
      <c r="CG67">
        <v>1.2306597591260999E-3</v>
      </c>
      <c r="CH67">
        <v>2.9907079143582602E-4</v>
      </c>
      <c r="CI67">
        <v>1.2725533541825501E-3</v>
      </c>
      <c r="CJ67">
        <f>MAX(E67:CI67)</f>
        <v>1.8442933486620501E-3</v>
      </c>
    </row>
    <row r="68" spans="1:88" x14ac:dyDescent="0.2">
      <c r="A68" t="s">
        <v>174</v>
      </c>
      <c r="B68" t="s">
        <v>175</v>
      </c>
      <c r="C68" t="s">
        <v>116</v>
      </c>
      <c r="D68" t="s">
        <v>89</v>
      </c>
      <c r="E68">
        <v>0</v>
      </c>
      <c r="F68">
        <v>0</v>
      </c>
      <c r="G68">
        <v>6.74615010163926E-6</v>
      </c>
      <c r="H68">
        <v>0</v>
      </c>
      <c r="I68">
        <v>0</v>
      </c>
      <c r="J68">
        <v>0</v>
      </c>
      <c r="K68">
        <v>1.74574979614683E-5</v>
      </c>
      <c r="L68">
        <v>0</v>
      </c>
      <c r="M68">
        <v>0</v>
      </c>
      <c r="N68">
        <v>0</v>
      </c>
      <c r="O68">
        <v>0</v>
      </c>
      <c r="P68">
        <v>9.8051671151585493E-6</v>
      </c>
      <c r="Q68">
        <v>0</v>
      </c>
      <c r="R68">
        <v>0</v>
      </c>
      <c r="S68">
        <v>0</v>
      </c>
      <c r="T68">
        <v>0</v>
      </c>
      <c r="U68">
        <v>1.6133032177081E-5</v>
      </c>
      <c r="V68">
        <v>0</v>
      </c>
      <c r="W68">
        <v>1.0789218788494599E-5</v>
      </c>
      <c r="X68">
        <v>0</v>
      </c>
      <c r="Y68">
        <v>0</v>
      </c>
      <c r="Z68">
        <v>0</v>
      </c>
      <c r="AA68">
        <v>7.4120783258056899E-6</v>
      </c>
      <c r="AB68">
        <v>0</v>
      </c>
      <c r="AC68">
        <v>0</v>
      </c>
      <c r="AD68">
        <v>0</v>
      </c>
      <c r="AE68">
        <v>0</v>
      </c>
      <c r="AF68">
        <v>6.7782721199254704E-5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1.36493823655712E-5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2.4469156577528001E-5</v>
      </c>
      <c r="AT68">
        <v>0</v>
      </c>
      <c r="AU68">
        <v>1.1436786135324999E-5</v>
      </c>
      <c r="AV68">
        <v>0</v>
      </c>
      <c r="AW68">
        <v>1.1932377925496801E-5</v>
      </c>
      <c r="AX68">
        <v>0</v>
      </c>
      <c r="AY68">
        <v>0</v>
      </c>
      <c r="AZ68">
        <v>1.6351816318085499E-5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6.4524849462328399E-6</v>
      </c>
      <c r="BH68">
        <v>0</v>
      </c>
      <c r="BI68">
        <v>0</v>
      </c>
      <c r="BJ68">
        <v>6.7695842879367598E-6</v>
      </c>
      <c r="BK68">
        <v>0</v>
      </c>
      <c r="BL68">
        <v>1.8367497948108499E-5</v>
      </c>
      <c r="BM68">
        <v>1.25422369130486E-5</v>
      </c>
      <c r="BN68">
        <v>4.1413696838492303E-5</v>
      </c>
      <c r="BO68">
        <v>5.2314851876244798E-5</v>
      </c>
      <c r="BP68">
        <v>1.21553368902635E-5</v>
      </c>
      <c r="BQ68">
        <v>1.8245971829160002E-5</v>
      </c>
      <c r="BR68">
        <v>0</v>
      </c>
      <c r="BS68">
        <v>1.9979747711669699E-5</v>
      </c>
      <c r="BT68">
        <v>5.7054512643285E-5</v>
      </c>
      <c r="BU68">
        <v>0</v>
      </c>
      <c r="BV68">
        <v>0</v>
      </c>
      <c r="BW68">
        <v>0</v>
      </c>
      <c r="BX68">
        <v>2.9169769679122799E-5</v>
      </c>
      <c r="BY68">
        <v>0</v>
      </c>
      <c r="BZ68">
        <v>0</v>
      </c>
      <c r="CA68">
        <v>6.47659887396523E-6</v>
      </c>
      <c r="CB68">
        <v>0</v>
      </c>
      <c r="CC68">
        <v>0</v>
      </c>
      <c r="CD68">
        <v>0</v>
      </c>
      <c r="CE68">
        <v>7.6621208929530906E-6</v>
      </c>
      <c r="CF68">
        <v>1.8086852629657699E-5</v>
      </c>
      <c r="CG68">
        <v>1.18619475669156E-5</v>
      </c>
      <c r="CH68">
        <v>0</v>
      </c>
      <c r="CI68">
        <v>0</v>
      </c>
      <c r="CJ68">
        <f>MAX(E68:CI68)</f>
        <v>6.7782721199254704E-5</v>
      </c>
    </row>
    <row r="69" spans="1:88" x14ac:dyDescent="0.2">
      <c r="A69" t="s">
        <v>176</v>
      </c>
      <c r="B69" t="s">
        <v>176</v>
      </c>
      <c r="C69" t="s">
        <v>177</v>
      </c>
      <c r="D69" t="s">
        <v>178</v>
      </c>
      <c r="E69">
        <v>1.8789317277298099E-5</v>
      </c>
      <c r="F69">
        <v>9.2224646661924004E-5</v>
      </c>
      <c r="G69">
        <v>2.6956282555860302E-4</v>
      </c>
      <c r="H69">
        <v>4.2620937664369002E-4</v>
      </c>
      <c r="I69">
        <v>4.8044424991682802E-4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5.4679054975708904E-4</v>
      </c>
      <c r="R69">
        <v>0</v>
      </c>
      <c r="S69">
        <v>0</v>
      </c>
      <c r="T69">
        <v>3.9788356451849E-5</v>
      </c>
      <c r="U69">
        <v>7.3139502178219099E-5</v>
      </c>
      <c r="V69">
        <v>5.5719601276726103E-4</v>
      </c>
      <c r="W69">
        <v>1.51697701334406E-4</v>
      </c>
      <c r="X69">
        <v>0</v>
      </c>
      <c r="Y69">
        <v>0</v>
      </c>
      <c r="Z69">
        <v>0</v>
      </c>
      <c r="AA69">
        <v>1.88135607453277E-4</v>
      </c>
      <c r="AB69">
        <v>2.8204733465401902E-4</v>
      </c>
      <c r="AC69">
        <v>0</v>
      </c>
      <c r="AD69">
        <v>0</v>
      </c>
      <c r="AE69">
        <v>4.8422588324907898E-4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2.4168127310205499E-5</v>
      </c>
      <c r="AL69">
        <v>0</v>
      </c>
      <c r="AM69">
        <v>5.75250493610612E-5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2.1376470509789499E-5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6.4285496135064603E-6</v>
      </c>
      <c r="BO69">
        <v>0</v>
      </c>
      <c r="BP69">
        <v>1.4494525411775601E-5</v>
      </c>
      <c r="BQ69">
        <v>0</v>
      </c>
      <c r="BR69">
        <v>0</v>
      </c>
      <c r="BS69">
        <v>0</v>
      </c>
      <c r="BT69">
        <v>0</v>
      </c>
      <c r="BU69">
        <v>3.0268785796732298E-5</v>
      </c>
      <c r="BV69">
        <v>0</v>
      </c>
      <c r="BW69">
        <v>0</v>
      </c>
      <c r="BX69">
        <v>0</v>
      </c>
      <c r="BY69">
        <v>0</v>
      </c>
      <c r="BZ69">
        <v>1.7903378776370001E-5</v>
      </c>
      <c r="CA69">
        <v>0</v>
      </c>
      <c r="CB69">
        <v>5.4711421667951698E-6</v>
      </c>
      <c r="CC69">
        <v>0</v>
      </c>
      <c r="CD69">
        <v>0</v>
      </c>
      <c r="CE69">
        <v>4.3360771418286398E-5</v>
      </c>
      <c r="CF69">
        <v>0</v>
      </c>
      <c r="CG69">
        <v>0</v>
      </c>
      <c r="CH69">
        <v>0</v>
      </c>
      <c r="CI69">
        <v>0</v>
      </c>
      <c r="CJ69">
        <f>MAX(E69:CI69)</f>
        <v>5.5719601276726103E-4</v>
      </c>
    </row>
    <row r="70" spans="1:88" x14ac:dyDescent="0.2">
      <c r="A70" t="s">
        <v>179</v>
      </c>
      <c r="B70" t="s">
        <v>179</v>
      </c>
      <c r="C70" t="s">
        <v>177</v>
      </c>
      <c r="D70" t="s">
        <v>178</v>
      </c>
      <c r="E70">
        <v>9.8435782953559603E-6</v>
      </c>
      <c r="F70">
        <v>3.1092740339040201E-5</v>
      </c>
      <c r="G70">
        <v>6.1928562616440301E-5</v>
      </c>
      <c r="H70">
        <v>5.74253961678873E-5</v>
      </c>
      <c r="I70">
        <v>0</v>
      </c>
      <c r="J70">
        <v>0</v>
      </c>
      <c r="K70">
        <v>3.0252481219159601E-5</v>
      </c>
      <c r="L70">
        <v>0</v>
      </c>
      <c r="M70">
        <v>0</v>
      </c>
      <c r="N70">
        <v>0</v>
      </c>
      <c r="O70">
        <v>0</v>
      </c>
      <c r="P70">
        <v>0</v>
      </c>
      <c r="Q70">
        <v>1.0592707984677401E-5</v>
      </c>
      <c r="R70">
        <v>0</v>
      </c>
      <c r="S70">
        <v>0</v>
      </c>
      <c r="T70">
        <v>8.8012427585612195E-6</v>
      </c>
      <c r="U70">
        <v>0</v>
      </c>
      <c r="V70">
        <v>2.5236841491979102E-5</v>
      </c>
      <c r="W70">
        <v>1.30746177296593E-5</v>
      </c>
      <c r="X70">
        <v>0</v>
      </c>
      <c r="Y70">
        <v>0</v>
      </c>
      <c r="Z70">
        <v>2.18047946001054E-5</v>
      </c>
      <c r="AA70">
        <v>0</v>
      </c>
      <c r="AB70">
        <v>0</v>
      </c>
      <c r="AC70">
        <v>9.8123944916182296E-5</v>
      </c>
      <c r="AD70">
        <v>5.6347934357614101E-5</v>
      </c>
      <c r="AE70">
        <v>1.6513875268948699E-4</v>
      </c>
      <c r="AF70">
        <v>1.6515928725172201E-4</v>
      </c>
      <c r="AG70">
        <v>5.1053556340154501E-5</v>
      </c>
      <c r="AH70">
        <v>0</v>
      </c>
      <c r="AI70">
        <v>1.1889264804049499E-5</v>
      </c>
      <c r="AJ70">
        <v>0</v>
      </c>
      <c r="AK70">
        <v>1.04101982447825E-5</v>
      </c>
      <c r="AL70">
        <v>0</v>
      </c>
      <c r="AM70">
        <v>3.2506035102034801E-5</v>
      </c>
      <c r="AN70">
        <v>3.5795546723177403E-5</v>
      </c>
      <c r="AO70">
        <v>3.3007223963239899E-5</v>
      </c>
      <c r="AP70">
        <v>3.22100945755006E-5</v>
      </c>
      <c r="AQ70">
        <v>0</v>
      </c>
      <c r="AR70">
        <v>6.9640358797354597E-5</v>
      </c>
      <c r="AS70">
        <v>8.9417392240967098E-5</v>
      </c>
      <c r="AT70">
        <v>0</v>
      </c>
      <c r="AU70">
        <v>0</v>
      </c>
      <c r="AV70">
        <v>0</v>
      </c>
      <c r="AW70">
        <v>6.9836425116498902E-5</v>
      </c>
      <c r="AX70">
        <v>5.36417576868847E-5</v>
      </c>
      <c r="AY70">
        <v>0</v>
      </c>
      <c r="AZ70">
        <v>8.4628764376803E-5</v>
      </c>
      <c r="BA70">
        <v>0</v>
      </c>
      <c r="BB70">
        <v>3.1210879001107498E-5</v>
      </c>
      <c r="BC70">
        <v>0</v>
      </c>
      <c r="BD70">
        <v>9.4649429370298805E-5</v>
      </c>
      <c r="BE70">
        <v>0</v>
      </c>
      <c r="BF70">
        <v>2.5248349890239899E-5</v>
      </c>
      <c r="BG70">
        <v>0</v>
      </c>
      <c r="BH70">
        <v>5.5028541216554797E-5</v>
      </c>
      <c r="BI70">
        <v>0</v>
      </c>
      <c r="BJ70">
        <v>0</v>
      </c>
      <c r="BK70">
        <v>2.73679961447998E-5</v>
      </c>
      <c r="BL70">
        <v>4.2610732499413E-5</v>
      </c>
      <c r="BM70">
        <v>1.7013082186777401E-5</v>
      </c>
      <c r="BN70">
        <v>0</v>
      </c>
      <c r="BO70">
        <v>9.3634953683413997E-5</v>
      </c>
      <c r="BP70">
        <v>0</v>
      </c>
      <c r="BQ70">
        <v>3.4008227718728399E-5</v>
      </c>
      <c r="BR70">
        <v>1.7648304972072299E-4</v>
      </c>
      <c r="BS70">
        <v>0</v>
      </c>
      <c r="BT70">
        <v>1.0862255150526599E-4</v>
      </c>
      <c r="BU70">
        <v>0</v>
      </c>
      <c r="BV70">
        <v>0</v>
      </c>
      <c r="BW70">
        <v>3.58286958243612E-5</v>
      </c>
      <c r="BX70">
        <v>3.6370812247435299E-5</v>
      </c>
      <c r="BY70">
        <v>0</v>
      </c>
      <c r="BZ70">
        <v>4.3440818548460998E-5</v>
      </c>
      <c r="CA70">
        <v>3.7283270345559302E-5</v>
      </c>
      <c r="CB70">
        <v>4.8699443672939197E-5</v>
      </c>
      <c r="CC70">
        <v>3.4614016789817703E-5</v>
      </c>
      <c r="CD70">
        <v>0</v>
      </c>
      <c r="CE70">
        <v>2.9907148007256401E-5</v>
      </c>
      <c r="CF70">
        <v>7.4663784615175795E-5</v>
      </c>
      <c r="CG70">
        <v>0</v>
      </c>
      <c r="CH70">
        <v>0</v>
      </c>
      <c r="CI70">
        <v>0</v>
      </c>
      <c r="CJ70">
        <f>MAX(E70:CI70)</f>
        <v>1.7648304972072299E-4</v>
      </c>
    </row>
    <row r="71" spans="1:88" x14ac:dyDescent="0.2">
      <c r="A71" t="s">
        <v>181</v>
      </c>
      <c r="B71" t="s">
        <v>181</v>
      </c>
      <c r="C71" t="s">
        <v>177</v>
      </c>
      <c r="D71" t="s">
        <v>178</v>
      </c>
      <c r="E71">
        <v>0</v>
      </c>
      <c r="F71">
        <v>0</v>
      </c>
      <c r="G71">
        <v>5.6831877022328897E-5</v>
      </c>
      <c r="H71">
        <v>1.9819559598748701E-4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2.9897646319010899E-5</v>
      </c>
      <c r="R71">
        <v>9.3032780275744E-5</v>
      </c>
      <c r="S71">
        <v>3.1214544367259802E-5</v>
      </c>
      <c r="T71">
        <v>6.1175566540773506E-5</v>
      </c>
      <c r="U71">
        <v>0</v>
      </c>
      <c r="V71">
        <v>4.0216937851080002E-5</v>
      </c>
      <c r="W71">
        <v>1.5062740702588901E-4</v>
      </c>
      <c r="X71">
        <v>0</v>
      </c>
      <c r="Y71">
        <v>0</v>
      </c>
      <c r="Z71">
        <v>1.04314336491128E-5</v>
      </c>
      <c r="AA71">
        <v>0</v>
      </c>
      <c r="AB71">
        <v>0</v>
      </c>
      <c r="AC71">
        <v>0</v>
      </c>
      <c r="AD71">
        <v>0</v>
      </c>
      <c r="AE71">
        <v>1.9935631622064301E-5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3.3910641065609403E-5</v>
      </c>
      <c r="AO71">
        <v>0</v>
      </c>
      <c r="AP71">
        <v>0</v>
      </c>
      <c r="AQ71">
        <v>0</v>
      </c>
      <c r="AR71">
        <v>2.3048146193807999E-5</v>
      </c>
      <c r="AS71">
        <v>1.1565249330888299E-5</v>
      </c>
      <c r="AT71">
        <v>1.7327344098334299E-4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9.9265194985060303E-5</v>
      </c>
      <c r="BJ71">
        <v>0</v>
      </c>
      <c r="BK71">
        <v>0</v>
      </c>
      <c r="BL71">
        <v>1.4308101094038699E-5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9.6418861701874793E-6</v>
      </c>
      <c r="BZ71">
        <v>1.12714295266402E-4</v>
      </c>
      <c r="CA71">
        <v>0</v>
      </c>
      <c r="CB71">
        <v>0</v>
      </c>
      <c r="CC71">
        <v>0</v>
      </c>
      <c r="CD71">
        <v>6.6475100103604906E-5</v>
      </c>
      <c r="CE71">
        <v>0</v>
      </c>
      <c r="CF71">
        <v>0</v>
      </c>
      <c r="CG71">
        <v>0</v>
      </c>
      <c r="CH71">
        <v>0</v>
      </c>
      <c r="CI71">
        <v>0</v>
      </c>
      <c r="CJ71">
        <f>MAX(E71:CI71)</f>
        <v>1.9819559598748701E-4</v>
      </c>
    </row>
    <row r="72" spans="1:88" x14ac:dyDescent="0.2">
      <c r="A72" t="s">
        <v>182</v>
      </c>
      <c r="B72" t="s">
        <v>182</v>
      </c>
      <c r="C72" t="s">
        <v>177</v>
      </c>
      <c r="D72" t="s">
        <v>178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1.0364992686656799E-5</v>
      </c>
      <c r="T72">
        <v>0</v>
      </c>
      <c r="U72">
        <v>0</v>
      </c>
      <c r="V72">
        <v>0</v>
      </c>
      <c r="W72">
        <v>5.4796018042635997E-5</v>
      </c>
      <c r="X72">
        <v>0</v>
      </c>
      <c r="Y72">
        <v>0</v>
      </c>
      <c r="Z72">
        <v>0</v>
      </c>
      <c r="AA72">
        <v>1.0015185554156201E-5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f>MAX(E72:CI72)</f>
        <v>5.4796018042635997E-5</v>
      </c>
    </row>
    <row r="73" spans="1:88" x14ac:dyDescent="0.2">
      <c r="A73" t="s">
        <v>183</v>
      </c>
      <c r="B73" t="s">
        <v>184</v>
      </c>
      <c r="C73" t="s">
        <v>116</v>
      </c>
      <c r="D73" t="s">
        <v>89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1.4570216331113201E-5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7.9593756113253506E-6</v>
      </c>
      <c r="AP73">
        <v>0</v>
      </c>
      <c r="AQ73">
        <v>0</v>
      </c>
      <c r="AR73">
        <v>0</v>
      </c>
      <c r="AS73">
        <v>1.2214677361329101E-5</v>
      </c>
      <c r="AT73">
        <v>0</v>
      </c>
      <c r="AU73">
        <v>0</v>
      </c>
      <c r="AV73">
        <v>0</v>
      </c>
      <c r="AW73">
        <v>0</v>
      </c>
      <c r="AX73">
        <v>1.5499868012609301E-5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2.0011654674719E-5</v>
      </c>
      <c r="BI73">
        <v>0</v>
      </c>
      <c r="BJ73">
        <v>7.6255294030830102E-6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2.3762711755604901E-5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f>MAX(E73:CI73)</f>
        <v>2.3762711755604901E-5</v>
      </c>
    </row>
    <row r="74" spans="1:88" x14ac:dyDescent="0.2">
      <c r="A74" t="s">
        <v>185</v>
      </c>
      <c r="B74" t="s">
        <v>185</v>
      </c>
      <c r="C74" t="s">
        <v>118</v>
      </c>
      <c r="D74" t="s">
        <v>119</v>
      </c>
      <c r="E74">
        <v>1.38648443995041E-3</v>
      </c>
      <c r="F74">
        <v>7.5897592477161102E-4</v>
      </c>
      <c r="G74">
        <v>1.22054276304519E-3</v>
      </c>
      <c r="H74">
        <v>1.7546035350138099E-3</v>
      </c>
      <c r="I74">
        <v>6.1961939021034295E-5</v>
      </c>
      <c r="J74">
        <v>1.8892872773586001E-4</v>
      </c>
      <c r="K74">
        <v>1.8267200685167201E-3</v>
      </c>
      <c r="L74">
        <v>3.1651332627799099E-4</v>
      </c>
      <c r="M74">
        <v>1.30986337792149E-4</v>
      </c>
      <c r="N74">
        <v>1.8033831188321101E-5</v>
      </c>
      <c r="O74">
        <v>2.3389287917711502E-5</v>
      </c>
      <c r="P74">
        <v>1.2175141014880401E-4</v>
      </c>
      <c r="Q74">
        <v>4.4560494327921099E-5</v>
      </c>
      <c r="R74">
        <v>2.56597251388537E-4</v>
      </c>
      <c r="S74">
        <v>1.14214436125702E-4</v>
      </c>
      <c r="T74">
        <v>1.03539484882441E-4</v>
      </c>
      <c r="U74">
        <v>4.9154241626348698E-4</v>
      </c>
      <c r="V74">
        <v>2.4146211480082099E-4</v>
      </c>
      <c r="W74">
        <v>1.26091845159238E-4</v>
      </c>
      <c r="X74">
        <v>4.05424509543348E-5</v>
      </c>
      <c r="Y74">
        <v>2.7477802647804999E-4</v>
      </c>
      <c r="Z74">
        <v>5.4272646547341295E-4</v>
      </c>
      <c r="AA74">
        <v>8.2768102710490299E-4</v>
      </c>
      <c r="AB74">
        <v>9.6812848845870497E-4</v>
      </c>
      <c r="AC74">
        <v>1.67797312215163E-4</v>
      </c>
      <c r="AD74">
        <v>1.0515017504520001E-3</v>
      </c>
      <c r="AE74">
        <v>5.4064600723776896E-4</v>
      </c>
      <c r="AF74">
        <v>1.71553269756378E-3</v>
      </c>
      <c r="AG74">
        <v>3.9485441648299001E-4</v>
      </c>
      <c r="AH74">
        <v>5.0292473991947299E-4</v>
      </c>
      <c r="AI74">
        <v>5.51623805469362E-4</v>
      </c>
      <c r="AJ74">
        <v>3.1436486417345602E-4</v>
      </c>
      <c r="AK74">
        <v>6.0318981533261302E-4</v>
      </c>
      <c r="AL74">
        <v>8.3737694586984905E-4</v>
      </c>
      <c r="AM74">
        <v>0</v>
      </c>
      <c r="AN74">
        <v>4.7964177334895101E-4</v>
      </c>
      <c r="AO74">
        <v>1.04666330863556E-4</v>
      </c>
      <c r="AP74">
        <v>4.2632421396451099E-4</v>
      </c>
      <c r="AQ74">
        <v>0</v>
      </c>
      <c r="AR74">
        <v>9.7816698395006703E-5</v>
      </c>
      <c r="AS74">
        <v>7.0575343403200504E-4</v>
      </c>
      <c r="AT74">
        <v>6.5606066526014794E-5</v>
      </c>
      <c r="AU74">
        <v>1.0263842993639301E-3</v>
      </c>
      <c r="AV74">
        <v>1.1244418473841599E-3</v>
      </c>
      <c r="AW74">
        <v>2.4334195901404101E-3</v>
      </c>
      <c r="AX74">
        <v>9.2757919685494499E-4</v>
      </c>
      <c r="AY74">
        <v>1.1542210753797699E-3</v>
      </c>
      <c r="AZ74">
        <v>1.2519673411329E-3</v>
      </c>
      <c r="BA74">
        <v>2.4123315674902598E-3</v>
      </c>
      <c r="BB74">
        <v>9.99102394902415E-4</v>
      </c>
      <c r="BC74">
        <v>1.0590830074072701E-3</v>
      </c>
      <c r="BD74">
        <v>1.3621345224676599E-3</v>
      </c>
      <c r="BE74">
        <v>7.0852797126811295E-4</v>
      </c>
      <c r="BF74">
        <v>8.5386065070382601E-4</v>
      </c>
      <c r="BG74">
        <v>1.04537714278858E-4</v>
      </c>
      <c r="BH74">
        <v>1.15786253053226E-3</v>
      </c>
      <c r="BI74">
        <v>1.02364412917152E-3</v>
      </c>
      <c r="BJ74">
        <v>1.0164991036198401E-3</v>
      </c>
      <c r="BK74">
        <v>7.2089497784929299E-4</v>
      </c>
      <c r="BL74">
        <v>7.8756063414635303E-4</v>
      </c>
      <c r="BM74">
        <v>5.5235971899419501E-4</v>
      </c>
      <c r="BN74">
        <v>0</v>
      </c>
      <c r="BO74">
        <v>1.0947803657786401E-3</v>
      </c>
      <c r="BP74">
        <v>0</v>
      </c>
      <c r="BQ74">
        <v>9.72585969149742E-4</v>
      </c>
      <c r="BR74">
        <v>2.1944161962994101E-3</v>
      </c>
      <c r="BS74">
        <v>0</v>
      </c>
      <c r="BT74">
        <v>2.1110669176085901E-4</v>
      </c>
      <c r="BU74">
        <v>3.1834864082255299E-4</v>
      </c>
      <c r="BV74">
        <v>8.3220055290968194E-5</v>
      </c>
      <c r="BW74">
        <v>3.42131451583464E-4</v>
      </c>
      <c r="BX74">
        <v>6.2695013466540603E-4</v>
      </c>
      <c r="BY74">
        <v>3.4239625036167201E-4</v>
      </c>
      <c r="BZ74">
        <v>9.2634337524658797E-4</v>
      </c>
      <c r="CA74">
        <v>5.1618692537986103E-4</v>
      </c>
      <c r="CB74">
        <v>1.4362498621065399E-3</v>
      </c>
      <c r="CC74">
        <v>1.4713669613582001E-3</v>
      </c>
      <c r="CD74">
        <v>4.7121813925267301E-4</v>
      </c>
      <c r="CE74">
        <v>1.4578908155823099E-3</v>
      </c>
      <c r="CF74">
        <v>1.80504486120983E-3</v>
      </c>
      <c r="CG74">
        <v>1.3584792212138299E-3</v>
      </c>
      <c r="CH74">
        <v>5.4346552548262402E-4</v>
      </c>
      <c r="CI74">
        <v>5.0267119593669005E-4</v>
      </c>
      <c r="CJ74">
        <f>MAX(E74:CI74)</f>
        <v>2.4334195901404101E-3</v>
      </c>
    </row>
    <row r="75" spans="1:88" x14ac:dyDescent="0.2">
      <c r="A75" t="s">
        <v>186</v>
      </c>
      <c r="B75" t="s">
        <v>186</v>
      </c>
      <c r="C75" t="s">
        <v>187</v>
      </c>
      <c r="D75" t="s">
        <v>89</v>
      </c>
      <c r="E75">
        <v>4.1833962233361698E-4</v>
      </c>
      <c r="F75">
        <v>0</v>
      </c>
      <c r="G75">
        <v>9.8612961151861296E-4</v>
      </c>
      <c r="H75">
        <v>5.6158564755624601E-4</v>
      </c>
      <c r="I75">
        <v>2.3668459931107901E-4</v>
      </c>
      <c r="J75">
        <v>2.8369063539066799E-4</v>
      </c>
      <c r="K75">
        <v>1.07994589998631E-3</v>
      </c>
      <c r="L75">
        <v>3.7501444808359498E-4</v>
      </c>
      <c r="M75">
        <v>2.0933651990278599E-4</v>
      </c>
      <c r="N75">
        <v>0</v>
      </c>
      <c r="O75">
        <v>2.5383119829081502E-4</v>
      </c>
      <c r="P75">
        <v>1.5973312932915601E-4</v>
      </c>
      <c r="Q75">
        <v>0</v>
      </c>
      <c r="R75">
        <v>3.7887591655728502E-4</v>
      </c>
      <c r="S75">
        <v>2.6174054357048902E-4</v>
      </c>
      <c r="T75">
        <v>1.7828672197396799E-4</v>
      </c>
      <c r="U75">
        <v>0</v>
      </c>
      <c r="V75">
        <v>0</v>
      </c>
      <c r="W75">
        <v>0</v>
      </c>
      <c r="X75">
        <v>2.1113440077311099E-4</v>
      </c>
      <c r="Y75">
        <v>5.0391582827499803E-4</v>
      </c>
      <c r="Z75">
        <v>5.1285311770914003E-4</v>
      </c>
      <c r="AA75">
        <v>1.13087603291739E-3</v>
      </c>
      <c r="AB75">
        <v>2.9873423796729901E-4</v>
      </c>
      <c r="AC75">
        <v>1.1833739369782499E-3</v>
      </c>
      <c r="AD75">
        <v>6.3698176517409998E-4</v>
      </c>
      <c r="AE75">
        <v>9.8213231313426606E-4</v>
      </c>
      <c r="AF75">
        <v>1.64391742928279E-3</v>
      </c>
      <c r="AG75">
        <v>9.0071210619119203E-4</v>
      </c>
      <c r="AH75">
        <v>4.8381797565854603E-4</v>
      </c>
      <c r="AI75">
        <v>6.1627563804346095E-4</v>
      </c>
      <c r="AJ75">
        <v>3.76020913366754E-4</v>
      </c>
      <c r="AK75">
        <v>6.2418452890522697E-4</v>
      </c>
      <c r="AL75">
        <v>1.16116249532194E-3</v>
      </c>
      <c r="AM75">
        <v>7.13325911474596E-4</v>
      </c>
      <c r="AN75">
        <v>1.0046181034944E-3</v>
      </c>
      <c r="AO75">
        <v>3.2619327265962802E-4</v>
      </c>
      <c r="AP75">
        <v>5.6665144423575001E-4</v>
      </c>
      <c r="AQ75">
        <v>1.03567143959178E-3</v>
      </c>
      <c r="AR75">
        <v>6.4638311030703905E-4</v>
      </c>
      <c r="AS75">
        <v>7.9610985489029801E-4</v>
      </c>
      <c r="AT75">
        <v>2.9464969779439601E-4</v>
      </c>
      <c r="AU75">
        <v>0</v>
      </c>
      <c r="AV75">
        <v>0</v>
      </c>
      <c r="AW75">
        <v>1.62991891607187E-3</v>
      </c>
      <c r="AX75">
        <v>1.2980337958987699E-3</v>
      </c>
      <c r="AY75">
        <v>1.7824074962310801E-3</v>
      </c>
      <c r="AZ75">
        <v>1.5234948834016401E-3</v>
      </c>
      <c r="BA75">
        <v>3.1772617905198798E-3</v>
      </c>
      <c r="BB75">
        <v>1.51731936289718E-3</v>
      </c>
      <c r="BC75">
        <v>0</v>
      </c>
      <c r="BD75">
        <v>1.7145020155375601E-3</v>
      </c>
      <c r="BE75">
        <v>5.1093658390589198E-4</v>
      </c>
      <c r="BF75">
        <v>1.00816356965061E-3</v>
      </c>
      <c r="BG75">
        <v>0</v>
      </c>
      <c r="BH75">
        <v>1.75305281308889E-3</v>
      </c>
      <c r="BI75">
        <v>1.00566653825249E-3</v>
      </c>
      <c r="BJ75">
        <v>0</v>
      </c>
      <c r="BK75">
        <v>7.8676131945227797E-4</v>
      </c>
      <c r="BL75">
        <v>0</v>
      </c>
      <c r="BM75">
        <v>9.8984911699236794E-4</v>
      </c>
      <c r="BN75">
        <v>8.3208367215043596E-4</v>
      </c>
      <c r="BO75">
        <v>8.7099968912418503E-4</v>
      </c>
      <c r="BP75">
        <v>8.4930171292887599E-4</v>
      </c>
      <c r="BQ75">
        <v>1.19484067906781E-3</v>
      </c>
      <c r="BR75">
        <v>1.9525043045089401E-3</v>
      </c>
      <c r="BS75">
        <v>1.05110233290925E-3</v>
      </c>
      <c r="BT75">
        <v>0</v>
      </c>
      <c r="BU75">
        <v>2.0417520485443099E-4</v>
      </c>
      <c r="BV75">
        <v>1.4271150955933701E-4</v>
      </c>
      <c r="BW75">
        <v>9.5683928971180198E-4</v>
      </c>
      <c r="BX75">
        <v>9.5735497833617097E-4</v>
      </c>
      <c r="BY75">
        <v>0</v>
      </c>
      <c r="BZ75">
        <v>1.06520942393922E-3</v>
      </c>
      <c r="CA75">
        <v>7.1517117189448998E-4</v>
      </c>
      <c r="CB75">
        <v>0</v>
      </c>
      <c r="CC75">
        <v>9.13311655369051E-4</v>
      </c>
      <c r="CD75">
        <v>6.6472191940303597E-4</v>
      </c>
      <c r="CE75">
        <v>7.86174584839487E-4</v>
      </c>
      <c r="CF75">
        <v>1.65641059597839E-3</v>
      </c>
      <c r="CG75">
        <v>2.4550311108691401E-3</v>
      </c>
      <c r="CH75">
        <v>8.27035210959873E-4</v>
      </c>
      <c r="CI75">
        <v>0</v>
      </c>
      <c r="CJ75">
        <f>MAX(E75:CI75)</f>
        <v>3.1772617905198798E-3</v>
      </c>
    </row>
    <row r="76" spans="1:88" x14ac:dyDescent="0.2">
      <c r="A76" t="s">
        <v>188</v>
      </c>
      <c r="B76" t="s">
        <v>188</v>
      </c>
      <c r="C76" t="s">
        <v>187</v>
      </c>
      <c r="D76" t="s">
        <v>89</v>
      </c>
      <c r="E76">
        <v>0</v>
      </c>
      <c r="F76">
        <v>0</v>
      </c>
      <c r="G76">
        <v>3.47215416678257E-5</v>
      </c>
      <c r="H76">
        <v>7.3435659589333202E-5</v>
      </c>
      <c r="I76">
        <v>5.7665890106053301E-5</v>
      </c>
      <c r="J76">
        <v>2.6683266883167199E-5</v>
      </c>
      <c r="K76">
        <v>0</v>
      </c>
      <c r="L76">
        <v>0</v>
      </c>
      <c r="M76">
        <v>0</v>
      </c>
      <c r="N76">
        <v>0</v>
      </c>
      <c r="O76">
        <v>0</v>
      </c>
      <c r="P76">
        <v>4.7698640388439898E-5</v>
      </c>
      <c r="Q76">
        <v>3.4932526726472399E-5</v>
      </c>
      <c r="R76">
        <v>0</v>
      </c>
      <c r="S76">
        <v>0</v>
      </c>
      <c r="T76">
        <v>4.0798669463534797E-5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3.50187790433145E-5</v>
      </c>
      <c r="AB76">
        <v>0</v>
      </c>
      <c r="AC76">
        <v>0</v>
      </c>
      <c r="AD76">
        <v>0</v>
      </c>
      <c r="AE76">
        <v>0</v>
      </c>
      <c r="AF76">
        <v>1.9569557245233601E-5</v>
      </c>
      <c r="AG76">
        <v>0</v>
      </c>
      <c r="AH76">
        <v>9.4579061449148108E-6</v>
      </c>
      <c r="AI76">
        <v>0</v>
      </c>
      <c r="AJ76">
        <v>0</v>
      </c>
      <c r="AK76">
        <v>0</v>
      </c>
      <c r="AL76">
        <v>1.6662186836737E-5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3.6394185136590002E-5</v>
      </c>
      <c r="AT76">
        <v>0</v>
      </c>
      <c r="AU76">
        <v>4.82094303696118E-5</v>
      </c>
      <c r="AV76">
        <v>0</v>
      </c>
      <c r="AW76">
        <v>0</v>
      </c>
      <c r="AX76">
        <v>0</v>
      </c>
      <c r="AY76">
        <v>0</v>
      </c>
      <c r="AZ76">
        <v>1.03514693369616E-5</v>
      </c>
      <c r="BA76">
        <v>0</v>
      </c>
      <c r="BB76">
        <v>0</v>
      </c>
      <c r="BC76">
        <v>1.59927445363185E-4</v>
      </c>
      <c r="BD76">
        <v>0</v>
      </c>
      <c r="BE76">
        <v>1.2106148586973099E-5</v>
      </c>
      <c r="BF76">
        <v>0</v>
      </c>
      <c r="BG76">
        <v>0</v>
      </c>
      <c r="BH76">
        <v>1.6973523265323502E-5</v>
      </c>
      <c r="BI76">
        <v>9.6336308363221402E-6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2.6437050462048298E-5</v>
      </c>
      <c r="BQ76">
        <v>0</v>
      </c>
      <c r="BR76">
        <v>4.8187123262635597E-5</v>
      </c>
      <c r="BS76">
        <v>2.35672006830627E-5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6.3129013096174401E-6</v>
      </c>
      <c r="CC76">
        <v>0</v>
      </c>
      <c r="CD76">
        <v>0</v>
      </c>
      <c r="CE76">
        <v>0</v>
      </c>
      <c r="CF76">
        <v>0</v>
      </c>
      <c r="CG76">
        <v>1.01880953299128E-5</v>
      </c>
      <c r="CH76">
        <v>0</v>
      </c>
      <c r="CI76">
        <v>0</v>
      </c>
      <c r="CJ76">
        <f>MAX(E76:CI76)</f>
        <v>1.59927445363185E-4</v>
      </c>
    </row>
    <row r="77" spans="1:88" x14ac:dyDescent="0.2">
      <c r="A77" t="s">
        <v>189</v>
      </c>
      <c r="B77" t="s">
        <v>189</v>
      </c>
      <c r="C77" t="s">
        <v>187</v>
      </c>
      <c r="D77" t="s">
        <v>148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9.9227488666222007E-5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1.3689418483078E-5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1.1900192864775201E-5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f>MAX(E77:CI77)</f>
        <v>9.9227488666222007E-5</v>
      </c>
    </row>
    <row r="78" spans="1:88" x14ac:dyDescent="0.2">
      <c r="A78" t="s">
        <v>190</v>
      </c>
      <c r="B78" t="s">
        <v>190</v>
      </c>
      <c r="C78" t="s">
        <v>187</v>
      </c>
      <c r="D78" t="s">
        <v>148</v>
      </c>
      <c r="E78">
        <v>0</v>
      </c>
      <c r="F78">
        <v>0</v>
      </c>
      <c r="G78">
        <v>0</v>
      </c>
      <c r="H78">
        <v>0</v>
      </c>
      <c r="I78">
        <v>4.7496105435577099E-5</v>
      </c>
      <c r="J78">
        <v>4.6626197613879E-5</v>
      </c>
      <c r="K78">
        <v>0</v>
      </c>
      <c r="L78">
        <v>0</v>
      </c>
      <c r="M78">
        <v>0</v>
      </c>
      <c r="N78">
        <v>0</v>
      </c>
      <c r="O78">
        <v>3.8038729237373297E-5</v>
      </c>
      <c r="P78">
        <v>6.6513224110703701E-5</v>
      </c>
      <c r="Q78">
        <v>0</v>
      </c>
      <c r="R78">
        <v>0</v>
      </c>
      <c r="S78">
        <v>0</v>
      </c>
      <c r="T78">
        <v>0</v>
      </c>
      <c r="U78">
        <v>0</v>
      </c>
      <c r="V78">
        <v>7.2711315163176104E-5</v>
      </c>
      <c r="W78">
        <v>0</v>
      </c>
      <c r="X78">
        <v>4.6053538011299798E-5</v>
      </c>
      <c r="Y78">
        <v>0</v>
      </c>
      <c r="Z78">
        <v>1.5242668337617899E-4</v>
      </c>
      <c r="AA78">
        <v>0</v>
      </c>
      <c r="AB78">
        <v>5.1914538779908801E-5</v>
      </c>
      <c r="AC78">
        <v>1.8054106499742901E-4</v>
      </c>
      <c r="AD78">
        <v>1.22192063795427E-4</v>
      </c>
      <c r="AE78">
        <v>1.49444866012732E-4</v>
      </c>
      <c r="AF78">
        <v>2.85367164517109E-4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1.67798471321936E-4</v>
      </c>
      <c r="AO78">
        <v>4.63708439357671E-5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8.1988133575824801E-5</v>
      </c>
      <c r="AW78">
        <v>0</v>
      </c>
      <c r="AX78">
        <v>1.3979221940601001E-4</v>
      </c>
      <c r="AY78">
        <v>1.7595110556075199E-4</v>
      </c>
      <c r="AZ78">
        <v>0</v>
      </c>
      <c r="BA78">
        <v>3.4738255093678402E-4</v>
      </c>
      <c r="BB78">
        <v>1.05012500552094E-4</v>
      </c>
      <c r="BC78">
        <v>1.3700076745277599E-4</v>
      </c>
      <c r="BD78">
        <v>1.64125476510585E-4</v>
      </c>
      <c r="BE78">
        <v>1.3017362529991E-4</v>
      </c>
      <c r="BF78">
        <v>3.6120437337032602E-5</v>
      </c>
      <c r="BG78">
        <v>3.4232845497522398E-5</v>
      </c>
      <c r="BH78">
        <v>0</v>
      </c>
      <c r="BI78">
        <v>2.0453941052794901E-4</v>
      </c>
      <c r="BJ78">
        <v>0</v>
      </c>
      <c r="BK78">
        <v>9.3884305938890999E-5</v>
      </c>
      <c r="BL78">
        <v>0</v>
      </c>
      <c r="BM78">
        <v>0</v>
      </c>
      <c r="BN78">
        <v>8.8280137312596299E-5</v>
      </c>
      <c r="BO78">
        <v>1.27607734959591E-4</v>
      </c>
      <c r="BP78">
        <v>1.88863485332653E-4</v>
      </c>
      <c r="BQ78">
        <v>9.7133267865527305E-5</v>
      </c>
      <c r="BR78">
        <v>2.32394582651157E-4</v>
      </c>
      <c r="BS78">
        <v>0</v>
      </c>
      <c r="BT78">
        <v>0</v>
      </c>
      <c r="BU78">
        <v>8.1553198753071303E-5</v>
      </c>
      <c r="BV78">
        <v>4.8161832173006003E-5</v>
      </c>
      <c r="BW78">
        <v>6.5914505759942396E-5</v>
      </c>
      <c r="BX78">
        <v>0</v>
      </c>
      <c r="BY78">
        <v>0</v>
      </c>
      <c r="BZ78">
        <v>1.7197249812371499E-4</v>
      </c>
      <c r="CA78">
        <v>1.5883199834127999E-4</v>
      </c>
      <c r="CB78">
        <v>1.84862150127803E-4</v>
      </c>
      <c r="CC78">
        <v>0</v>
      </c>
      <c r="CD78">
        <v>6.5018208671706101E-5</v>
      </c>
      <c r="CE78">
        <v>2.12214961933842E-4</v>
      </c>
      <c r="CF78">
        <v>1.4519544763944101E-4</v>
      </c>
      <c r="CG78">
        <v>0</v>
      </c>
      <c r="CH78">
        <v>0</v>
      </c>
      <c r="CI78">
        <v>2.6433885226514602E-4</v>
      </c>
      <c r="CJ78">
        <f>MAX(E78:CI78)</f>
        <v>3.4738255093678402E-4</v>
      </c>
    </row>
    <row r="79" spans="1:88" x14ac:dyDescent="0.2">
      <c r="A79" t="s">
        <v>191</v>
      </c>
      <c r="B79" t="s">
        <v>191</v>
      </c>
      <c r="C79" t="s">
        <v>187</v>
      </c>
      <c r="D79" t="s">
        <v>148</v>
      </c>
      <c r="E79">
        <v>0</v>
      </c>
      <c r="F79">
        <v>0</v>
      </c>
      <c r="G79">
        <v>0</v>
      </c>
      <c r="H79">
        <v>3.0137831470964599E-3</v>
      </c>
      <c r="I79">
        <v>6.6563170523128003E-4</v>
      </c>
      <c r="J79">
        <v>8.9984353338414704E-5</v>
      </c>
      <c r="K79">
        <v>1.52505673303034E-4</v>
      </c>
      <c r="L79">
        <v>2.6533100377037799E-5</v>
      </c>
      <c r="M79">
        <v>0</v>
      </c>
      <c r="N79">
        <v>0</v>
      </c>
      <c r="O79">
        <v>0</v>
      </c>
      <c r="P79">
        <v>5.38980434286465E-5</v>
      </c>
      <c r="Q79">
        <v>0</v>
      </c>
      <c r="R79">
        <v>1.07677508981671E-4</v>
      </c>
      <c r="S79">
        <v>0</v>
      </c>
      <c r="T79">
        <v>0</v>
      </c>
      <c r="U79">
        <v>1.05653527108806E-4</v>
      </c>
      <c r="V79">
        <v>1.7016451490336001E-4</v>
      </c>
      <c r="W79">
        <v>0</v>
      </c>
      <c r="X79">
        <v>0</v>
      </c>
      <c r="Y79">
        <v>0</v>
      </c>
      <c r="Z79">
        <v>9.4204576169547506E-5</v>
      </c>
      <c r="AA79">
        <v>1.0353018736940599E-4</v>
      </c>
      <c r="AB79">
        <v>1.9771699444546799E-4</v>
      </c>
      <c r="AC79">
        <v>1.21668176746697E-4</v>
      </c>
      <c r="AD79">
        <v>3.4243724943422597E-5</v>
      </c>
      <c r="AE79">
        <v>5.1472113356361303E-5</v>
      </c>
      <c r="AF79">
        <v>1.8463116073003401E-4</v>
      </c>
      <c r="AG79">
        <v>9.7946517677345205E-5</v>
      </c>
      <c r="AH79">
        <v>5.7960216629272803E-5</v>
      </c>
      <c r="AI79">
        <v>6.74562198043389E-5</v>
      </c>
      <c r="AJ79">
        <v>1.36493823655713E-5</v>
      </c>
      <c r="AK79">
        <v>0</v>
      </c>
      <c r="AL79">
        <v>0</v>
      </c>
      <c r="AM79">
        <v>0</v>
      </c>
      <c r="AN79">
        <v>3.1370323695517399E-4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7.4848654887400994E-5</v>
      </c>
      <c r="AU79">
        <v>2.6816432414653702E-4</v>
      </c>
      <c r="AV79">
        <v>1.32698495812323E-4</v>
      </c>
      <c r="AW79">
        <v>0</v>
      </c>
      <c r="AX79">
        <v>1.4760225755208501E-4</v>
      </c>
      <c r="AY79">
        <v>0</v>
      </c>
      <c r="AZ79">
        <v>2.0224090499338201E-4</v>
      </c>
      <c r="BA79">
        <v>0</v>
      </c>
      <c r="BB79">
        <v>0</v>
      </c>
      <c r="BC79">
        <v>0</v>
      </c>
      <c r="BD79">
        <v>0</v>
      </c>
      <c r="BE79">
        <v>8.7866433755175294E-5</v>
      </c>
      <c r="BF79">
        <v>0</v>
      </c>
      <c r="BG79">
        <v>0</v>
      </c>
      <c r="BH79">
        <v>0</v>
      </c>
      <c r="BI79">
        <v>1.59175784878478E-4</v>
      </c>
      <c r="BJ79">
        <v>1.3420107663603801E-4</v>
      </c>
      <c r="BK79">
        <v>5.26854871430681E-5</v>
      </c>
      <c r="BL79">
        <v>1.06617624015385E-4</v>
      </c>
      <c r="BM79">
        <v>1.1492909846699301E-4</v>
      </c>
      <c r="BN79">
        <v>0</v>
      </c>
      <c r="BO79">
        <v>1.1794105274953999E-4</v>
      </c>
      <c r="BP79">
        <v>1.13450130556495E-4</v>
      </c>
      <c r="BQ79">
        <v>0</v>
      </c>
      <c r="BR79">
        <v>2.1234400290481601E-4</v>
      </c>
      <c r="BS79">
        <v>0</v>
      </c>
      <c r="BT79">
        <v>0</v>
      </c>
      <c r="BU79">
        <v>4.6896237442897097E-5</v>
      </c>
      <c r="BV79">
        <v>7.7296174395849405E-5</v>
      </c>
      <c r="BW79">
        <v>0</v>
      </c>
      <c r="BX79">
        <v>0</v>
      </c>
      <c r="BY79">
        <v>0</v>
      </c>
      <c r="BZ79">
        <v>7.0815772980728096E-5</v>
      </c>
      <c r="CA79">
        <v>0</v>
      </c>
      <c r="CB79">
        <v>7.5706644911728306E-5</v>
      </c>
      <c r="CC79">
        <v>0</v>
      </c>
      <c r="CD79">
        <v>7.4465481151034094E-5</v>
      </c>
      <c r="CE79">
        <v>6.8937257170948498E-5</v>
      </c>
      <c r="CF79">
        <v>3.2335977948166498E-4</v>
      </c>
      <c r="CG79">
        <v>0</v>
      </c>
      <c r="CH79">
        <v>0</v>
      </c>
      <c r="CI79">
        <v>0</v>
      </c>
      <c r="CJ79">
        <f>MAX(E79:CI79)</f>
        <v>3.0137831470964599E-3</v>
      </c>
    </row>
    <row r="80" spans="1:88" x14ac:dyDescent="0.2">
      <c r="A80" t="s">
        <v>192</v>
      </c>
      <c r="B80" t="s">
        <v>192</v>
      </c>
      <c r="C80" t="s">
        <v>187</v>
      </c>
      <c r="D80" t="s">
        <v>148</v>
      </c>
      <c r="E80">
        <v>0</v>
      </c>
      <c r="F80">
        <v>0</v>
      </c>
      <c r="G80">
        <v>1.40906166621053E-4</v>
      </c>
      <c r="H80">
        <v>3.9374857947662199E-4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3.1584790457020098E-5</v>
      </c>
      <c r="S80">
        <v>0</v>
      </c>
      <c r="T80">
        <v>0</v>
      </c>
      <c r="U80">
        <v>0</v>
      </c>
      <c r="V80">
        <v>1.96359085138357E-5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1.10086737174718E-5</v>
      </c>
      <c r="AF80">
        <v>0</v>
      </c>
      <c r="AG80">
        <v>1.19346860752125E-5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4.4715593559779901E-5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f>MAX(E80:CI80)</f>
        <v>3.9374857947662199E-4</v>
      </c>
    </row>
    <row r="81" spans="1:88" x14ac:dyDescent="0.2">
      <c r="A81" t="s">
        <v>193</v>
      </c>
      <c r="B81" t="s">
        <v>193</v>
      </c>
      <c r="C81" t="s">
        <v>187</v>
      </c>
      <c r="D81" t="s">
        <v>148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1.20588252043552E-5</v>
      </c>
      <c r="P81">
        <v>1.05922689627685E-5</v>
      </c>
      <c r="Q81">
        <v>0</v>
      </c>
      <c r="R81">
        <v>0</v>
      </c>
      <c r="S81">
        <v>1.8707079849731901E-5</v>
      </c>
      <c r="T81">
        <v>0</v>
      </c>
      <c r="U81">
        <v>0</v>
      </c>
      <c r="V81">
        <v>0</v>
      </c>
      <c r="W81">
        <v>5.1418452276209798E-5</v>
      </c>
      <c r="X81">
        <v>1.09222471605231E-5</v>
      </c>
      <c r="Y81">
        <v>1.86908047183828E-5</v>
      </c>
      <c r="Z81">
        <v>1.4785261156380501E-5</v>
      </c>
      <c r="AA81">
        <v>1.6647575761458799E-5</v>
      </c>
      <c r="AB81">
        <v>2.05280170621043E-5</v>
      </c>
      <c r="AC81">
        <v>0</v>
      </c>
      <c r="AD81">
        <v>1.0606546492973501E-5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9.8984683778317204E-6</v>
      </c>
      <c r="AL81">
        <v>1.04748304012178E-5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2.07134766931273E-5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1.57781470752995E-5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2.3744662444152699E-5</v>
      </c>
      <c r="BP81">
        <v>0</v>
      </c>
      <c r="BQ81">
        <v>0</v>
      </c>
      <c r="BR81">
        <v>1.28233648802019E-5</v>
      </c>
      <c r="BS81">
        <v>0</v>
      </c>
      <c r="BT81">
        <v>0</v>
      </c>
      <c r="BU81">
        <v>0</v>
      </c>
      <c r="BV81">
        <v>2.5337455561066099E-5</v>
      </c>
      <c r="BW81">
        <v>0</v>
      </c>
      <c r="BX81">
        <v>2.1945627332624701E-5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1.1327419904705901E-5</v>
      </c>
      <c r="CH81">
        <v>1.50568457052573E-5</v>
      </c>
      <c r="CI81">
        <v>0</v>
      </c>
      <c r="CJ81">
        <f>MAX(E81:CI81)</f>
        <v>5.1418452276209798E-5</v>
      </c>
    </row>
    <row r="82" spans="1:88" x14ac:dyDescent="0.2">
      <c r="A82" t="s">
        <v>194</v>
      </c>
      <c r="B82" t="s">
        <v>194</v>
      </c>
      <c r="C82" t="s">
        <v>187</v>
      </c>
      <c r="D82" t="s">
        <v>148</v>
      </c>
      <c r="E82">
        <v>1.5940759148288801E-3</v>
      </c>
      <c r="F82">
        <v>1.4091168235246499E-3</v>
      </c>
      <c r="G82">
        <v>0</v>
      </c>
      <c r="H82">
        <v>1.4303983484102801E-3</v>
      </c>
      <c r="I82">
        <v>0</v>
      </c>
      <c r="J82">
        <v>0</v>
      </c>
      <c r="K82">
        <v>0</v>
      </c>
      <c r="L82">
        <v>1.0090553747004599E-3</v>
      </c>
      <c r="M82">
        <v>8.9180930623514198E-4</v>
      </c>
      <c r="N82">
        <v>3.3859535814113401E-4</v>
      </c>
      <c r="O82">
        <v>3.7860905800590397E-4</v>
      </c>
      <c r="P82">
        <v>7.1053749410159603E-4</v>
      </c>
      <c r="Q82">
        <v>2.23497670051414E-4</v>
      </c>
      <c r="R82">
        <v>0</v>
      </c>
      <c r="S82">
        <v>0</v>
      </c>
      <c r="T82">
        <v>0</v>
      </c>
      <c r="U82">
        <v>0</v>
      </c>
      <c r="V82">
        <v>0</v>
      </c>
      <c r="W82">
        <v>2.1875349478648199E-4</v>
      </c>
      <c r="X82">
        <v>7.2916027490487403E-5</v>
      </c>
      <c r="Y82">
        <v>4.6608057170566502E-4</v>
      </c>
      <c r="Z82">
        <v>5.7441530110981004E-4</v>
      </c>
      <c r="AA82">
        <v>0</v>
      </c>
      <c r="AB82">
        <v>6.0288155924085696E-4</v>
      </c>
      <c r="AC82">
        <v>9.8114230031619504E-4</v>
      </c>
      <c r="AD82">
        <v>2.0136778826818202E-3</v>
      </c>
      <c r="AE82">
        <v>4.5252752466734699E-4</v>
      </c>
      <c r="AF82">
        <v>3.1417744243616699E-3</v>
      </c>
      <c r="AG82">
        <v>0</v>
      </c>
      <c r="AH82">
        <v>1.2131709434096301E-3</v>
      </c>
      <c r="AI82">
        <v>2.80163787530272E-4</v>
      </c>
      <c r="AJ82">
        <v>1.0790883404215401E-3</v>
      </c>
      <c r="AK82">
        <v>2.0105968601353701E-4</v>
      </c>
      <c r="AL82">
        <v>0</v>
      </c>
      <c r="AM82">
        <v>0</v>
      </c>
      <c r="AN82">
        <v>0</v>
      </c>
      <c r="AO82">
        <v>1.09438970762856E-4</v>
      </c>
      <c r="AP82">
        <v>6.2205387527711903E-4</v>
      </c>
      <c r="AQ82">
        <v>0</v>
      </c>
      <c r="AR82">
        <v>8.4230232602290601E-4</v>
      </c>
      <c r="AS82">
        <v>4.77222597227395E-4</v>
      </c>
      <c r="AT82">
        <v>3.20874348578825E-4</v>
      </c>
      <c r="AU82">
        <v>1.9319772140803E-3</v>
      </c>
      <c r="AV82">
        <v>8.8258593053913096E-4</v>
      </c>
      <c r="AW82">
        <v>3.1838529417418499E-3</v>
      </c>
      <c r="AX82">
        <v>8.2282409351849405E-4</v>
      </c>
      <c r="AY82">
        <v>1.6522965650141001E-3</v>
      </c>
      <c r="AZ82">
        <v>5.57030531476177E-4</v>
      </c>
      <c r="BA82">
        <v>2.6919748615391202E-3</v>
      </c>
      <c r="BB82">
        <v>7.4063119439299601E-4</v>
      </c>
      <c r="BC82">
        <v>1.63798907201097E-3</v>
      </c>
      <c r="BD82">
        <v>0</v>
      </c>
      <c r="BE82">
        <v>1.6228523173505401E-3</v>
      </c>
      <c r="BF82">
        <v>2.83651444788237E-4</v>
      </c>
      <c r="BG82">
        <v>6.7712835434504499E-4</v>
      </c>
      <c r="BH82">
        <v>0</v>
      </c>
      <c r="BI82">
        <v>0</v>
      </c>
      <c r="BJ82">
        <v>0</v>
      </c>
      <c r="BK82">
        <v>0</v>
      </c>
      <c r="BL82">
        <v>6.8531620298903199E-4</v>
      </c>
      <c r="BM82">
        <v>8.0311363633418797E-4</v>
      </c>
      <c r="BN82">
        <v>6.5376550210537697E-4</v>
      </c>
      <c r="BO82">
        <v>2.2752860283841202E-3</v>
      </c>
      <c r="BP82">
        <v>0</v>
      </c>
      <c r="BQ82">
        <v>1.6897521200340999E-3</v>
      </c>
      <c r="BR82">
        <v>1.4853164810393401E-3</v>
      </c>
      <c r="BS82">
        <v>0</v>
      </c>
      <c r="BT82">
        <v>1.1286830420074701E-3</v>
      </c>
      <c r="BU82">
        <v>3.1957146971788101E-4</v>
      </c>
      <c r="BV82">
        <v>0</v>
      </c>
      <c r="BW82">
        <v>7.5951612738052498E-4</v>
      </c>
      <c r="BX82">
        <v>1.8250425740370399E-3</v>
      </c>
      <c r="BY82">
        <v>5.59734401964723E-4</v>
      </c>
      <c r="BZ82">
        <v>1.7585835240895599E-3</v>
      </c>
      <c r="CA82">
        <v>0</v>
      </c>
      <c r="CB82">
        <v>2.4108156385540601E-3</v>
      </c>
      <c r="CC82">
        <v>5.7306383262477399E-4</v>
      </c>
      <c r="CD82">
        <v>0</v>
      </c>
      <c r="CE82">
        <v>2.0115276191475E-4</v>
      </c>
      <c r="CF82">
        <v>2.60124944165149E-3</v>
      </c>
      <c r="CG82">
        <v>1.9459335238360099E-3</v>
      </c>
      <c r="CH82">
        <v>3.4852424895675198E-4</v>
      </c>
      <c r="CI82">
        <v>1.35355217170246E-3</v>
      </c>
      <c r="CJ82">
        <f>MAX(E82:CI82)</f>
        <v>3.1838529417418499E-3</v>
      </c>
    </row>
    <row r="83" spans="1:88" x14ac:dyDescent="0.2">
      <c r="A83" t="s">
        <v>195</v>
      </c>
      <c r="B83" t="s">
        <v>195</v>
      </c>
      <c r="C83" t="s">
        <v>187</v>
      </c>
      <c r="D83" t="s">
        <v>148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1.7394662229037601E-5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1.0555966420025501E-5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f>MAX(E83:CI83)</f>
        <v>1.7394662229037601E-5</v>
      </c>
    </row>
    <row r="84" spans="1:88" x14ac:dyDescent="0.2">
      <c r="A84" t="s">
        <v>196</v>
      </c>
      <c r="B84" t="s">
        <v>196</v>
      </c>
      <c r="C84" t="s">
        <v>187</v>
      </c>
      <c r="D84" t="s">
        <v>148</v>
      </c>
      <c r="E84">
        <v>0</v>
      </c>
      <c r="F84">
        <v>2.7557892393732099E-5</v>
      </c>
      <c r="G84">
        <v>7.4044874267064205E-5</v>
      </c>
      <c r="H84">
        <v>3.8688687795322203E-4</v>
      </c>
      <c r="I84">
        <v>0</v>
      </c>
      <c r="J84">
        <v>4.0000277109895302E-5</v>
      </c>
      <c r="K84">
        <v>0</v>
      </c>
      <c r="L84">
        <v>0</v>
      </c>
      <c r="M84">
        <v>0</v>
      </c>
      <c r="N84">
        <v>0</v>
      </c>
      <c r="O84">
        <v>0</v>
      </c>
      <c r="P84">
        <v>9.5910465756575704E-5</v>
      </c>
      <c r="Q84">
        <v>5.5227578292543896E-4</v>
      </c>
      <c r="R84">
        <v>1.18171024303802E-4</v>
      </c>
      <c r="S84">
        <v>6.8095592024809205E-4</v>
      </c>
      <c r="T84">
        <v>1.7518462990335701E-4</v>
      </c>
      <c r="U84">
        <v>2.6998957795745402E-4</v>
      </c>
      <c r="V84">
        <v>0</v>
      </c>
      <c r="W84">
        <v>1.3692318726943599E-4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6.7040770963080402E-4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1.2993315978903499E-5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2.44826260967729E-4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2.8479476369797598E-5</v>
      </c>
      <c r="BD84">
        <v>0</v>
      </c>
      <c r="BE84">
        <v>0</v>
      </c>
      <c r="BF84">
        <v>2.6035264850038301E-5</v>
      </c>
      <c r="BG84">
        <v>0</v>
      </c>
      <c r="BH84">
        <v>0</v>
      </c>
      <c r="BI84">
        <v>0</v>
      </c>
      <c r="BJ84">
        <v>5.6311617210308797E-4</v>
      </c>
      <c r="BK84">
        <v>3.5981643804317102E-4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2.7706585017561201E-5</v>
      </c>
      <c r="BV84">
        <v>0</v>
      </c>
      <c r="BW84">
        <v>0</v>
      </c>
      <c r="BX84">
        <v>6.2690394097417295E-5</v>
      </c>
      <c r="BY84">
        <v>0</v>
      </c>
      <c r="BZ84">
        <v>2.14345317237958E-4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9.2651829648432004E-5</v>
      </c>
      <c r="CI84">
        <v>0</v>
      </c>
      <c r="CJ84">
        <f>MAX(E84:CI84)</f>
        <v>6.8095592024809205E-4</v>
      </c>
    </row>
    <row r="85" spans="1:88" x14ac:dyDescent="0.2">
      <c r="A85" t="s">
        <v>197</v>
      </c>
      <c r="B85" t="s">
        <v>197</v>
      </c>
      <c r="C85" t="s">
        <v>187</v>
      </c>
      <c r="D85" t="s">
        <v>148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1.0120197778937201E-5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f>MAX(E85:CI85)</f>
        <v>1.0120197778937201E-5</v>
      </c>
    </row>
    <row r="86" spans="1:88" x14ac:dyDescent="0.2">
      <c r="A86" t="s">
        <v>198</v>
      </c>
      <c r="B86" t="s">
        <v>198</v>
      </c>
      <c r="C86" t="s">
        <v>187</v>
      </c>
      <c r="D86" t="s">
        <v>148</v>
      </c>
      <c r="E86">
        <v>1.68818874289425E-3</v>
      </c>
      <c r="F86">
        <v>2.03414543319143E-3</v>
      </c>
      <c r="G86">
        <v>6.7744025528832996E-3</v>
      </c>
      <c r="H86">
        <v>4.5504673226128599E-3</v>
      </c>
      <c r="I86">
        <v>9.2684262809501099E-4</v>
      </c>
      <c r="J86">
        <v>1.1217110548057299E-3</v>
      </c>
      <c r="K86">
        <v>6.66380070344323E-3</v>
      </c>
      <c r="L86">
        <v>0</v>
      </c>
      <c r="M86">
        <v>1.17586915973498E-3</v>
      </c>
      <c r="N86">
        <v>1.0390106520160799E-3</v>
      </c>
      <c r="O86">
        <v>6.6162971204204702E-4</v>
      </c>
      <c r="P86">
        <v>1.2756337469394801E-3</v>
      </c>
      <c r="Q86">
        <v>6.3278911502362802E-4</v>
      </c>
      <c r="R86">
        <v>1.8404371877224501E-3</v>
      </c>
      <c r="S86">
        <v>8.87936686667091E-4</v>
      </c>
      <c r="T86">
        <v>9.911628139796921E-4</v>
      </c>
      <c r="U86">
        <v>2.8449654724165699E-3</v>
      </c>
      <c r="V86">
        <v>2.0266838184786399E-3</v>
      </c>
      <c r="W86">
        <v>2.0924206624874301E-3</v>
      </c>
      <c r="X86">
        <v>8.504171307412E-4</v>
      </c>
      <c r="Y86">
        <v>1.7894765022084299E-3</v>
      </c>
      <c r="Z86">
        <v>3.3797766406499698E-3</v>
      </c>
      <c r="AA86">
        <v>4.0676914256696298E-3</v>
      </c>
      <c r="AB86">
        <v>1.1751464690501301E-3</v>
      </c>
      <c r="AC86">
        <v>5.4948140493825499E-3</v>
      </c>
      <c r="AD86">
        <v>5.46524958577218E-3</v>
      </c>
      <c r="AE86">
        <v>4.1025983403342701E-3</v>
      </c>
      <c r="AF86">
        <v>9.6481489595414104E-3</v>
      </c>
      <c r="AG86">
        <v>2.59188662148896E-3</v>
      </c>
      <c r="AH86">
        <v>2.8067840505440101E-3</v>
      </c>
      <c r="AI86">
        <v>2.3701290863344599E-3</v>
      </c>
      <c r="AJ86">
        <v>2.88843101729019E-3</v>
      </c>
      <c r="AK86">
        <v>2.3943354740176802E-3</v>
      </c>
      <c r="AL86">
        <v>3.3992804769866799E-3</v>
      </c>
      <c r="AM86">
        <v>3.4325747223891501E-3</v>
      </c>
      <c r="AN86">
        <v>0</v>
      </c>
      <c r="AO86">
        <v>8.8290301524093198E-4</v>
      </c>
      <c r="AP86">
        <v>1.47021889524603E-3</v>
      </c>
      <c r="AQ86">
        <v>2.1630521989749502E-3</v>
      </c>
      <c r="AR86">
        <v>2.0059726156784799E-3</v>
      </c>
      <c r="AS86">
        <v>4.4698711068295602E-3</v>
      </c>
      <c r="AT86">
        <v>1.1019655051525501E-3</v>
      </c>
      <c r="AU86">
        <v>7.0910900413407299E-3</v>
      </c>
      <c r="AV86">
        <v>3.6261018633561102E-3</v>
      </c>
      <c r="AW86">
        <v>1.21685267178044E-2</v>
      </c>
      <c r="AX86">
        <v>4.8902830854387798E-3</v>
      </c>
      <c r="AY86">
        <v>6.4970767931067201E-3</v>
      </c>
      <c r="AZ86">
        <v>5.73296116658674E-3</v>
      </c>
      <c r="BA86">
        <v>9.7940654067886594E-3</v>
      </c>
      <c r="BB86">
        <v>5.2370654317672001E-3</v>
      </c>
      <c r="BC86">
        <v>4.09566097477996E-3</v>
      </c>
      <c r="BD86">
        <v>6.5290200156694397E-3</v>
      </c>
      <c r="BE86">
        <v>4.9763623998096002E-3</v>
      </c>
      <c r="BF86">
        <v>2.45015184478072E-3</v>
      </c>
      <c r="BG86">
        <v>1.2848842334182899E-3</v>
      </c>
      <c r="BH86">
        <v>5.1535560050482397E-3</v>
      </c>
      <c r="BI86">
        <v>4.9933039152214396E-3</v>
      </c>
      <c r="BJ86">
        <v>4.4505224898419597E-3</v>
      </c>
      <c r="BK86">
        <v>3.52518570221015E-3</v>
      </c>
      <c r="BL86">
        <v>5.2892001307513099E-3</v>
      </c>
      <c r="BM86">
        <v>3.5596147689236101E-3</v>
      </c>
      <c r="BN86">
        <v>3.9784325548681797E-3</v>
      </c>
      <c r="BO86">
        <v>5.9713152505809297E-3</v>
      </c>
      <c r="BP86">
        <v>5.6780995182730901E-3</v>
      </c>
      <c r="BQ86">
        <v>4.7406730023627401E-3</v>
      </c>
      <c r="BR86">
        <v>7.65545485929382E-3</v>
      </c>
      <c r="BS86">
        <v>2.6888340550994998E-3</v>
      </c>
      <c r="BT86">
        <v>4.5432747381416103E-3</v>
      </c>
      <c r="BU86">
        <v>2.1325047146452201E-3</v>
      </c>
      <c r="BV86">
        <v>8.51486957262576E-4</v>
      </c>
      <c r="BW86">
        <v>3.6964854408125698E-3</v>
      </c>
      <c r="BX86">
        <v>3.8586110174101502E-3</v>
      </c>
      <c r="BY86">
        <v>2.6099428639268E-3</v>
      </c>
      <c r="BZ86">
        <v>4.8379012565867904E-3</v>
      </c>
      <c r="CA86">
        <v>2.5782082870010798E-3</v>
      </c>
      <c r="CB86">
        <v>7.5364010256236298E-3</v>
      </c>
      <c r="CC86">
        <v>3.7043328247330001E-3</v>
      </c>
      <c r="CD86">
        <v>3.0277429391050298E-3</v>
      </c>
      <c r="CE86">
        <v>3.5017650189449199E-3</v>
      </c>
      <c r="CF86">
        <v>7.7711805649963803E-3</v>
      </c>
      <c r="CG86">
        <v>9.4758243115477103E-3</v>
      </c>
      <c r="CH86">
        <v>3.5552406259624302E-3</v>
      </c>
      <c r="CI86">
        <v>4.8588668720015897E-3</v>
      </c>
      <c r="CJ86">
        <f>MAX(E86:CI86)</f>
        <v>1.21685267178044E-2</v>
      </c>
    </row>
    <row r="87" spans="1:88" x14ac:dyDescent="0.2">
      <c r="A87" t="s">
        <v>199</v>
      </c>
      <c r="B87" t="s">
        <v>199</v>
      </c>
      <c r="C87" t="s">
        <v>187</v>
      </c>
      <c r="D87" t="s">
        <v>148</v>
      </c>
      <c r="E87">
        <v>5.27951465814298E-5</v>
      </c>
      <c r="F87">
        <v>6.4626702926661795E-4</v>
      </c>
      <c r="G87">
        <v>1.48736993974432E-3</v>
      </c>
      <c r="H87">
        <v>2.5675209738693801E-2</v>
      </c>
      <c r="I87">
        <v>2.72225622760799E-4</v>
      </c>
      <c r="J87">
        <v>1.36448573593276E-5</v>
      </c>
      <c r="K87">
        <v>0</v>
      </c>
      <c r="L87">
        <v>0</v>
      </c>
      <c r="M87">
        <v>0</v>
      </c>
      <c r="N87">
        <v>0</v>
      </c>
      <c r="O87">
        <v>0</v>
      </c>
      <c r="P87">
        <v>1.67184110931159E-4</v>
      </c>
      <c r="Q87">
        <v>5.7882862462127602E-4</v>
      </c>
      <c r="R87">
        <v>0</v>
      </c>
      <c r="S87">
        <v>0</v>
      </c>
      <c r="T87">
        <v>3.1458861398453002E-4</v>
      </c>
      <c r="U87">
        <v>2.5797106701922401E-4</v>
      </c>
      <c r="V87">
        <v>2.72490270480769E-3</v>
      </c>
      <c r="W87">
        <v>7.1914091777305593E-5</v>
      </c>
      <c r="X87">
        <v>3.6586005893451903E-5</v>
      </c>
      <c r="Y87">
        <v>3.0884672467682001E-5</v>
      </c>
      <c r="Z87">
        <v>0</v>
      </c>
      <c r="AA87">
        <v>0</v>
      </c>
      <c r="AB87">
        <v>2.48249281383087E-4</v>
      </c>
      <c r="AC87">
        <v>0</v>
      </c>
      <c r="AD87">
        <v>0</v>
      </c>
      <c r="AE87">
        <v>1.27669159721109E-3</v>
      </c>
      <c r="AF87">
        <v>0</v>
      </c>
      <c r="AG87">
        <v>0</v>
      </c>
      <c r="AH87">
        <v>1.03003267087031E-5</v>
      </c>
      <c r="AI87">
        <v>0</v>
      </c>
      <c r="AJ87">
        <v>0</v>
      </c>
      <c r="AK87">
        <v>3.8032686186089202E-5</v>
      </c>
      <c r="AL87">
        <v>0</v>
      </c>
      <c r="AM87">
        <v>1.59237738100251E-5</v>
      </c>
      <c r="AN87">
        <v>0</v>
      </c>
      <c r="AO87">
        <v>3.5839834869374202E-5</v>
      </c>
      <c r="AP87">
        <v>0</v>
      </c>
      <c r="AQ87">
        <v>0</v>
      </c>
      <c r="AR87">
        <v>0</v>
      </c>
      <c r="AS87">
        <v>0</v>
      </c>
      <c r="AT87">
        <v>8.2723899819049599E-3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3.3458541068949197E-5</v>
      </c>
      <c r="BD87">
        <v>0</v>
      </c>
      <c r="BE87">
        <v>0</v>
      </c>
      <c r="BF87">
        <v>0</v>
      </c>
      <c r="BG87">
        <v>0</v>
      </c>
      <c r="BH87">
        <v>6.7456219804338697E-5</v>
      </c>
      <c r="BI87">
        <v>0</v>
      </c>
      <c r="BJ87">
        <v>3.6865743747817802E-4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2.4711550750182301E-5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f>MAX(E87:CI87)</f>
        <v>2.5675209738693801E-2</v>
      </c>
    </row>
    <row r="88" spans="1:88" x14ac:dyDescent="0.2">
      <c r="A88" t="s">
        <v>200</v>
      </c>
      <c r="B88" t="s">
        <v>200</v>
      </c>
      <c r="C88" t="s">
        <v>187</v>
      </c>
      <c r="D88" t="s">
        <v>148</v>
      </c>
      <c r="E88">
        <v>0</v>
      </c>
      <c r="F88">
        <v>9.8305767907938397E-5</v>
      </c>
      <c r="G88">
        <v>7.4025440430713503E-5</v>
      </c>
      <c r="H88">
        <v>1.5850537720587499E-4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8.3646736208683004E-6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7.3435321406401699E-6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4.3389235688693301E-5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1.9349243944796401E-5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f>MAX(E88:CI88)</f>
        <v>1.5850537720587499E-4</v>
      </c>
    </row>
    <row r="89" spans="1:88" x14ac:dyDescent="0.2">
      <c r="A89" t="s">
        <v>201</v>
      </c>
      <c r="B89" t="s">
        <v>201</v>
      </c>
      <c r="C89" t="s">
        <v>187</v>
      </c>
      <c r="D89" t="s">
        <v>148</v>
      </c>
      <c r="E89">
        <v>0</v>
      </c>
      <c r="F89">
        <v>5.9148536031711202E-5</v>
      </c>
      <c r="G89">
        <v>1.4554892427599399E-4</v>
      </c>
      <c r="H89">
        <v>2.8475279788285098E-4</v>
      </c>
      <c r="I89">
        <v>3.6348123919718699E-4</v>
      </c>
      <c r="J89">
        <v>0</v>
      </c>
      <c r="K89">
        <v>2.6856165217407699E-5</v>
      </c>
      <c r="L89">
        <v>0</v>
      </c>
      <c r="M89">
        <v>0</v>
      </c>
      <c r="N89">
        <v>0</v>
      </c>
      <c r="O89">
        <v>0</v>
      </c>
      <c r="P89">
        <v>1.02653792777746E-5</v>
      </c>
      <c r="Q89">
        <v>5.1980086754395004E-4</v>
      </c>
      <c r="R89">
        <v>7.5149137417527303E-5</v>
      </c>
      <c r="S89">
        <v>6.5933480210250998E-4</v>
      </c>
      <c r="T89">
        <v>1.43326996475433E-4</v>
      </c>
      <c r="U89">
        <v>3.61855351653216E-4</v>
      </c>
      <c r="V89">
        <v>9.8285171542833796E-4</v>
      </c>
      <c r="W89">
        <v>2.0161600268245401E-4</v>
      </c>
      <c r="X89">
        <v>0</v>
      </c>
      <c r="Y89">
        <v>4.00530875567363E-5</v>
      </c>
      <c r="Z89">
        <v>0</v>
      </c>
      <c r="AA89">
        <v>1.6393436395054499E-5</v>
      </c>
      <c r="AB89">
        <v>3.20832976178719E-5</v>
      </c>
      <c r="AC89">
        <v>0</v>
      </c>
      <c r="AD89">
        <v>0</v>
      </c>
      <c r="AE89">
        <v>2.70217206536289E-4</v>
      </c>
      <c r="AF89">
        <v>3.5042251318374397E-5</v>
      </c>
      <c r="AG89">
        <v>0</v>
      </c>
      <c r="AH89">
        <v>0</v>
      </c>
      <c r="AI89">
        <v>1.6908457880619201E-5</v>
      </c>
      <c r="AJ89">
        <v>0</v>
      </c>
      <c r="AK89">
        <v>0</v>
      </c>
      <c r="AL89">
        <v>8.8157243052703303E-6</v>
      </c>
      <c r="AM89">
        <v>1.2986047886033899E-5</v>
      </c>
      <c r="AN89">
        <v>2.9806707104048399E-5</v>
      </c>
      <c r="AO89">
        <v>0</v>
      </c>
      <c r="AP89">
        <v>0</v>
      </c>
      <c r="AQ89">
        <v>1.1492724604371899E-3</v>
      </c>
      <c r="AR89">
        <v>0</v>
      </c>
      <c r="AS89">
        <v>1.9607038427274201E-5</v>
      </c>
      <c r="AT89">
        <v>1.41117540938359E-4</v>
      </c>
      <c r="AU89">
        <v>0</v>
      </c>
      <c r="AV89">
        <v>0</v>
      </c>
      <c r="AW89">
        <v>8.6673034127601402E-6</v>
      </c>
      <c r="AX89">
        <v>7.1374651379112701E-5</v>
      </c>
      <c r="AY89">
        <v>0</v>
      </c>
      <c r="AZ89">
        <v>0</v>
      </c>
      <c r="BA89">
        <v>3.1231151710957598E-5</v>
      </c>
      <c r="BB89">
        <v>0</v>
      </c>
      <c r="BC89">
        <v>1.2381064896561201E-4</v>
      </c>
      <c r="BD89">
        <v>2.6814456579686301E-5</v>
      </c>
      <c r="BE89">
        <v>1.44039962621681E-5</v>
      </c>
      <c r="BF89">
        <v>8.0261819357047599E-6</v>
      </c>
      <c r="BG89">
        <v>7.9421850180340503E-6</v>
      </c>
      <c r="BH89">
        <v>6.8401716465965696E-5</v>
      </c>
      <c r="BI89">
        <v>1.2018326548486701E-5</v>
      </c>
      <c r="BJ89">
        <v>5.1378568515637001E-4</v>
      </c>
      <c r="BK89">
        <v>6.0796839047804602E-5</v>
      </c>
      <c r="BL89">
        <v>0</v>
      </c>
      <c r="BM89">
        <v>0</v>
      </c>
      <c r="BN89">
        <v>0</v>
      </c>
      <c r="BO89">
        <v>0</v>
      </c>
      <c r="BP89">
        <v>1.5408912889717699E-5</v>
      </c>
      <c r="BQ89">
        <v>1.32466176185702E-5</v>
      </c>
      <c r="BR89">
        <v>1.6077628894068599E-5</v>
      </c>
      <c r="BS89">
        <v>0</v>
      </c>
      <c r="BT89">
        <v>0</v>
      </c>
      <c r="BU89">
        <v>4.6436876505768303E-5</v>
      </c>
      <c r="BV89">
        <v>0</v>
      </c>
      <c r="BW89">
        <v>0</v>
      </c>
      <c r="BX89">
        <v>9.4695425537950398E-6</v>
      </c>
      <c r="BY89">
        <v>2.0272952368529699E-5</v>
      </c>
      <c r="BZ89">
        <v>5.3911820825511801E-5</v>
      </c>
      <c r="CA89">
        <v>1.1975399212769401E-5</v>
      </c>
      <c r="CB89">
        <v>6.3963025791464403E-6</v>
      </c>
      <c r="CC89">
        <v>1.4473514481758E-5</v>
      </c>
      <c r="CD89">
        <v>0</v>
      </c>
      <c r="CE89">
        <v>8.6968704339509092E-6</v>
      </c>
      <c r="CF89">
        <v>0</v>
      </c>
      <c r="CG89">
        <v>0</v>
      </c>
      <c r="CH89">
        <v>2.0891229498753701E-5</v>
      </c>
      <c r="CI89">
        <v>0</v>
      </c>
      <c r="CJ89">
        <f>MAX(E89:CI89)</f>
        <v>1.1492724604371899E-3</v>
      </c>
    </row>
    <row r="90" spans="1:88" x14ac:dyDescent="0.2">
      <c r="A90" t="s">
        <v>202</v>
      </c>
      <c r="B90" t="s">
        <v>202</v>
      </c>
      <c r="C90" t="s">
        <v>187</v>
      </c>
      <c r="D90" t="s">
        <v>148</v>
      </c>
      <c r="E90">
        <v>4.6924105224673003E-5</v>
      </c>
      <c r="F90">
        <v>5.3627308412048497E-5</v>
      </c>
      <c r="G90">
        <v>1.3115746075002E-4</v>
      </c>
      <c r="H90">
        <v>4.30865776879418E-4</v>
      </c>
      <c r="I90">
        <v>1.6493354743529799E-4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2.01516216213935E-5</v>
      </c>
      <c r="Q90">
        <v>3.0340798064581001E-5</v>
      </c>
      <c r="R90">
        <v>3.9444640296781203E-5</v>
      </c>
      <c r="S90">
        <v>0</v>
      </c>
      <c r="T90">
        <v>0</v>
      </c>
      <c r="U90">
        <v>0</v>
      </c>
      <c r="V90">
        <v>4.0853098392010702E-5</v>
      </c>
      <c r="W90">
        <v>0</v>
      </c>
      <c r="X90">
        <v>0</v>
      </c>
      <c r="Y90">
        <v>0</v>
      </c>
      <c r="Z90">
        <v>7.8729048011089798E-5</v>
      </c>
      <c r="AA90">
        <v>0</v>
      </c>
      <c r="AB90">
        <v>1.382824291474E-4</v>
      </c>
      <c r="AC90">
        <v>0</v>
      </c>
      <c r="AD90">
        <v>0</v>
      </c>
      <c r="AE90">
        <v>8.8501167517912504E-5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6.88249651250575E-5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4.7774483444629402E-5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1.1549096229644899E-4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7.8042468901224295E-5</v>
      </c>
      <c r="CB90">
        <v>1.1098313796434999E-5</v>
      </c>
      <c r="CC90">
        <v>1.49960196214555E-5</v>
      </c>
      <c r="CD90">
        <v>0</v>
      </c>
      <c r="CE90">
        <v>4.1972419032505299E-5</v>
      </c>
      <c r="CF90">
        <v>0</v>
      </c>
      <c r="CG90">
        <v>0</v>
      </c>
      <c r="CH90">
        <v>0</v>
      </c>
      <c r="CI90">
        <v>0</v>
      </c>
      <c r="CJ90">
        <f>MAX(E90:CI90)</f>
        <v>4.30865776879418E-4</v>
      </c>
    </row>
    <row r="91" spans="1:88" x14ac:dyDescent="0.2">
      <c r="A91" t="s">
        <v>204</v>
      </c>
      <c r="B91" t="s">
        <v>204</v>
      </c>
      <c r="C91" t="s">
        <v>155</v>
      </c>
      <c r="D91" t="s">
        <v>119</v>
      </c>
      <c r="E91">
        <v>0</v>
      </c>
      <c r="F91">
        <v>0</v>
      </c>
      <c r="G91">
        <v>4.1410168722028101E-4</v>
      </c>
      <c r="H91">
        <v>0</v>
      </c>
      <c r="I91">
        <v>0</v>
      </c>
      <c r="J91">
        <v>6.9917517534346895E-5</v>
      </c>
      <c r="K91">
        <v>4.7253610805665801E-5</v>
      </c>
      <c r="L91">
        <v>0</v>
      </c>
      <c r="M91">
        <v>0</v>
      </c>
      <c r="N91">
        <v>1.1009662349772999E-5</v>
      </c>
      <c r="O91">
        <v>0</v>
      </c>
      <c r="P91">
        <v>6.5479748097562699E-5</v>
      </c>
      <c r="Q91">
        <v>0</v>
      </c>
      <c r="R91">
        <v>0</v>
      </c>
      <c r="S91">
        <v>6.8132449031058502E-5</v>
      </c>
      <c r="T91">
        <v>0</v>
      </c>
      <c r="U91">
        <v>4.6401818392266802E-4</v>
      </c>
      <c r="V91">
        <v>0</v>
      </c>
      <c r="W91">
        <v>0</v>
      </c>
      <c r="X91">
        <v>0</v>
      </c>
      <c r="Y91">
        <v>0</v>
      </c>
      <c r="Z91">
        <v>9.9239141816981203E-5</v>
      </c>
      <c r="AA91">
        <v>0</v>
      </c>
      <c r="AB91">
        <v>0</v>
      </c>
      <c r="AC91">
        <v>1.0204130402755301E-4</v>
      </c>
      <c r="AD91">
        <v>5.5508820607280103E-5</v>
      </c>
      <c r="AE91">
        <v>0</v>
      </c>
      <c r="AF91">
        <v>0</v>
      </c>
      <c r="AG91">
        <v>0</v>
      </c>
      <c r="AH91">
        <v>9.1896717731892401E-6</v>
      </c>
      <c r="AI91">
        <v>7.4882269785859796E-5</v>
      </c>
      <c r="AJ91">
        <v>0</v>
      </c>
      <c r="AK91">
        <v>0</v>
      </c>
      <c r="AL91">
        <v>0</v>
      </c>
      <c r="AM91">
        <v>2.3747286946263E-5</v>
      </c>
      <c r="AN91">
        <v>0</v>
      </c>
      <c r="AO91">
        <v>0</v>
      </c>
      <c r="AP91">
        <v>3.5015150713957999E-5</v>
      </c>
      <c r="AQ91">
        <v>0</v>
      </c>
      <c r="AR91">
        <v>2.3886801468626801E-5</v>
      </c>
      <c r="AS91">
        <v>2.4099942145191399E-5</v>
      </c>
      <c r="AT91">
        <v>0</v>
      </c>
      <c r="AU91">
        <v>7.9012353846835806E-5</v>
      </c>
      <c r="AV91">
        <v>3.2970763183830603E-5</v>
      </c>
      <c r="AW91">
        <v>2.03259100815378E-4</v>
      </c>
      <c r="AX91">
        <v>0</v>
      </c>
      <c r="AY91">
        <v>0</v>
      </c>
      <c r="AZ91">
        <v>6.08771061976501E-5</v>
      </c>
      <c r="BA91">
        <v>1.3276634515863901E-4</v>
      </c>
      <c r="BB91">
        <v>1.3535085390389899E-4</v>
      </c>
      <c r="BC91">
        <v>0</v>
      </c>
      <c r="BD91">
        <v>5.5948442360027799E-5</v>
      </c>
      <c r="BE91">
        <v>5.6517507420168899E-5</v>
      </c>
      <c r="BF91">
        <v>0</v>
      </c>
      <c r="BG91">
        <v>2.19171459660699E-5</v>
      </c>
      <c r="BH91">
        <v>0</v>
      </c>
      <c r="BI91">
        <v>6.6108758296802301E-5</v>
      </c>
      <c r="BJ91">
        <v>3.1150283245733599E-4</v>
      </c>
      <c r="BK91">
        <v>0</v>
      </c>
      <c r="BL91">
        <v>2.8169685607731701E-4</v>
      </c>
      <c r="BM91">
        <v>4.8654386415097103E-5</v>
      </c>
      <c r="BN91">
        <v>4.64712120733599E-5</v>
      </c>
      <c r="BO91">
        <v>1.0286650867989701E-4</v>
      </c>
      <c r="BP91">
        <v>7.3831892390845795E-5</v>
      </c>
      <c r="BQ91">
        <v>3.8759395939100902E-5</v>
      </c>
      <c r="BR91">
        <v>6.2555860140470595E-5</v>
      </c>
      <c r="BS91">
        <v>4.00544709652619E-5</v>
      </c>
      <c r="BT91">
        <v>2.25389147027715E-4</v>
      </c>
      <c r="BU91">
        <v>4.51978732593138E-5</v>
      </c>
      <c r="BV91">
        <v>0</v>
      </c>
      <c r="BW91">
        <v>5.6692289997478497E-5</v>
      </c>
      <c r="BX91">
        <v>0</v>
      </c>
      <c r="BY91">
        <v>5.3576581546614301E-5</v>
      </c>
      <c r="BZ91">
        <v>4.0810226016168201E-5</v>
      </c>
      <c r="CA91">
        <v>6.55589516240212E-5</v>
      </c>
      <c r="CB91">
        <v>1.1464760850961E-4</v>
      </c>
      <c r="CC91">
        <v>3.3678365043930602E-5</v>
      </c>
      <c r="CD91">
        <v>2.8482427461484201E-5</v>
      </c>
      <c r="CE91">
        <v>3.7145225569003998E-5</v>
      </c>
      <c r="CF91">
        <v>8.8458994805117703E-5</v>
      </c>
      <c r="CG91">
        <v>6.5600628463578198E-5</v>
      </c>
      <c r="CH91">
        <v>7.4808336927241701E-5</v>
      </c>
      <c r="CI91">
        <v>0</v>
      </c>
      <c r="CJ91">
        <f>MAX(E91:CI91)</f>
        <v>4.6401818392266802E-4</v>
      </c>
    </row>
    <row r="92" spans="1:88" x14ac:dyDescent="0.2">
      <c r="A92" t="s">
        <v>205</v>
      </c>
      <c r="B92" t="s">
        <v>206</v>
      </c>
      <c r="C92" t="s">
        <v>116</v>
      </c>
      <c r="D92" t="s">
        <v>89</v>
      </c>
      <c r="E92">
        <v>0</v>
      </c>
      <c r="F92">
        <v>0</v>
      </c>
      <c r="G92">
        <v>1.25050087514109E-4</v>
      </c>
      <c r="H92">
        <v>4.1038076810085103E-5</v>
      </c>
      <c r="I92">
        <v>0</v>
      </c>
      <c r="J92">
        <v>0</v>
      </c>
      <c r="K92">
        <v>2.83791249389903E-5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1.0209230282400499E-5</v>
      </c>
      <c r="Z92">
        <v>0</v>
      </c>
      <c r="AA92">
        <v>5.7293057576848402E-5</v>
      </c>
      <c r="AB92">
        <v>0</v>
      </c>
      <c r="AC92">
        <v>7.3715701030784998E-5</v>
      </c>
      <c r="AD92">
        <v>1.8162850155310601E-5</v>
      </c>
      <c r="AE92">
        <v>2.3850692872837701E-5</v>
      </c>
      <c r="AF92">
        <v>2.6271386878796699E-5</v>
      </c>
      <c r="AG92">
        <v>0</v>
      </c>
      <c r="AH92">
        <v>0</v>
      </c>
      <c r="AI92">
        <v>0</v>
      </c>
      <c r="AJ92">
        <v>0</v>
      </c>
      <c r="AK92">
        <v>9.5245178487864392E-6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4.1619609396034701E-5</v>
      </c>
      <c r="AT92">
        <v>0</v>
      </c>
      <c r="AU92">
        <v>0</v>
      </c>
      <c r="AV92">
        <v>5.4354186475638697E-5</v>
      </c>
      <c r="AW92">
        <v>0</v>
      </c>
      <c r="AX92">
        <v>3.8655117701691799E-5</v>
      </c>
      <c r="AY92">
        <v>2.61594735668736E-5</v>
      </c>
      <c r="AZ92">
        <v>6.97853080622684E-5</v>
      </c>
      <c r="BA92">
        <v>1.0433643655438999E-4</v>
      </c>
      <c r="BB92">
        <v>2.74697052838533E-5</v>
      </c>
      <c r="BC92">
        <v>3.21914100430178E-5</v>
      </c>
      <c r="BD92">
        <v>8.1722943372639298E-5</v>
      </c>
      <c r="BE92">
        <v>3.5693324473974502E-5</v>
      </c>
      <c r="BF92">
        <v>1.01109043046934E-5</v>
      </c>
      <c r="BG92">
        <v>0</v>
      </c>
      <c r="BH92">
        <v>0</v>
      </c>
      <c r="BI92">
        <v>4.8908461324964103E-5</v>
      </c>
      <c r="BJ92">
        <v>2.3762547609174298E-5</v>
      </c>
      <c r="BK92">
        <v>1.46061918253936E-5</v>
      </c>
      <c r="BL92">
        <v>2.8369912740152999E-5</v>
      </c>
      <c r="BM92">
        <v>1.21200385169153E-5</v>
      </c>
      <c r="BN92">
        <v>2.2001029330068801E-5</v>
      </c>
      <c r="BO92">
        <v>1.6814230627661E-5</v>
      </c>
      <c r="BP92">
        <v>2.1122679041699201E-5</v>
      </c>
      <c r="BQ92">
        <v>2.33511890565151E-5</v>
      </c>
      <c r="BR92">
        <v>1.39338137138897E-4</v>
      </c>
      <c r="BS92">
        <v>3.68971651401852E-5</v>
      </c>
      <c r="BT92">
        <v>0</v>
      </c>
      <c r="BU92">
        <v>0</v>
      </c>
      <c r="BV92">
        <v>0</v>
      </c>
      <c r="BW92">
        <v>9.4001979695155499E-6</v>
      </c>
      <c r="BX92">
        <v>2.4832874859767701E-5</v>
      </c>
      <c r="BY92">
        <v>0</v>
      </c>
      <c r="BZ92">
        <v>2.3424374350650699E-5</v>
      </c>
      <c r="CA92">
        <v>0</v>
      </c>
      <c r="CB92">
        <v>2.51012298197017E-5</v>
      </c>
      <c r="CC92">
        <v>5.1235502503213797E-5</v>
      </c>
      <c r="CD92">
        <v>1.38580141358769E-5</v>
      </c>
      <c r="CE92">
        <v>9.1717244803910206E-6</v>
      </c>
      <c r="CF92">
        <v>1.2323554782068001E-4</v>
      </c>
      <c r="CG92">
        <v>9.0699522361408801E-5</v>
      </c>
      <c r="CH92">
        <v>1.81781632788754E-5</v>
      </c>
      <c r="CI92">
        <v>7.2590368320338199E-5</v>
      </c>
      <c r="CJ92">
        <f>MAX(E92:CI92)</f>
        <v>1.39338137138897E-4</v>
      </c>
    </row>
    <row r="93" spans="1:88" x14ac:dyDescent="0.2">
      <c r="A93" t="s">
        <v>207</v>
      </c>
      <c r="B93" t="s">
        <v>208</v>
      </c>
      <c r="C93" t="s">
        <v>116</v>
      </c>
      <c r="D93" t="s">
        <v>89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6.09094951703691E-5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3.1964653426373903E-4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f>MAX(E93:CI93)</f>
        <v>3.1964653426373903E-4</v>
      </c>
    </row>
    <row r="94" spans="1:88" x14ac:dyDescent="0.2">
      <c r="A94" t="s">
        <v>209</v>
      </c>
      <c r="B94" t="s">
        <v>210</v>
      </c>
      <c r="C94" t="s">
        <v>116</v>
      </c>
      <c r="D94" t="s">
        <v>89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1.06802151125294E-5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8.3983699212156296E-6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1.4998505959559E-5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3.8827729913401103E-5</v>
      </c>
      <c r="BE94">
        <v>0</v>
      </c>
      <c r="BF94">
        <v>8.1935668235777402E-6</v>
      </c>
      <c r="BG94">
        <v>0</v>
      </c>
      <c r="BH94">
        <v>0</v>
      </c>
      <c r="BI94">
        <v>1.03764548329779E-5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f>MAX(E94:CI94)</f>
        <v>3.8827729913401103E-5</v>
      </c>
    </row>
    <row r="95" spans="1:88" x14ac:dyDescent="0.2">
      <c r="A95" t="s">
        <v>211</v>
      </c>
      <c r="B95" t="s">
        <v>212</v>
      </c>
      <c r="C95" t="s">
        <v>116</v>
      </c>
      <c r="D95" t="s">
        <v>89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8.98311583842695E-6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9.3100497130915304E-6</v>
      </c>
      <c r="BQ95">
        <v>0</v>
      </c>
      <c r="BR95">
        <v>7.4700584500594597E-6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f>MAX(E95:CI95)</f>
        <v>9.3100497130915304E-6</v>
      </c>
    </row>
    <row r="96" spans="1:88" x14ac:dyDescent="0.2">
      <c r="A96" t="s">
        <v>213</v>
      </c>
      <c r="B96" t="s">
        <v>213</v>
      </c>
      <c r="C96" t="s">
        <v>214</v>
      </c>
      <c r="D96" t="s">
        <v>214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7.2297786341487796E-6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f>MAX(E96:CI96)</f>
        <v>7.2297786341487796E-6</v>
      </c>
    </row>
    <row r="97" spans="1:88" x14ac:dyDescent="0.2">
      <c r="A97" t="s">
        <v>215</v>
      </c>
      <c r="B97" t="s">
        <v>215</v>
      </c>
      <c r="C97" t="s">
        <v>214</v>
      </c>
      <c r="D97" t="s">
        <v>214</v>
      </c>
      <c r="E97">
        <v>0</v>
      </c>
      <c r="F97">
        <v>0</v>
      </c>
      <c r="G97">
        <v>0</v>
      </c>
      <c r="H97">
        <v>5.5857693672353801E-5</v>
      </c>
      <c r="I97">
        <v>0</v>
      </c>
      <c r="J97">
        <v>0</v>
      </c>
      <c r="K97">
        <v>3.34318954508537E-4</v>
      </c>
      <c r="L97">
        <v>7.7364549330964397E-5</v>
      </c>
      <c r="M97">
        <v>3.2616923873653599E-5</v>
      </c>
      <c r="N97">
        <v>1.19249618958065E-5</v>
      </c>
      <c r="O97">
        <v>0</v>
      </c>
      <c r="P97">
        <v>3.0438833145647699E-5</v>
      </c>
      <c r="Q97">
        <v>1.5473016904120199E-5</v>
      </c>
      <c r="R97">
        <v>0</v>
      </c>
      <c r="S97">
        <v>2.7643307194204501E-5</v>
      </c>
      <c r="T97">
        <v>0</v>
      </c>
      <c r="U97">
        <v>0</v>
      </c>
      <c r="V97">
        <v>0</v>
      </c>
      <c r="W97">
        <v>0</v>
      </c>
      <c r="X97">
        <v>4.0643958570104901E-5</v>
      </c>
      <c r="Y97">
        <v>8.0447582905439395E-5</v>
      </c>
      <c r="Z97">
        <v>1.04756022436798E-4</v>
      </c>
      <c r="AA97">
        <v>0</v>
      </c>
      <c r="AB97">
        <v>0</v>
      </c>
      <c r="AC97">
        <v>2.80262505365172E-4</v>
      </c>
      <c r="AD97">
        <v>0</v>
      </c>
      <c r="AE97">
        <v>2.4933198811125101E-4</v>
      </c>
      <c r="AF97">
        <v>6.6111802787731204E-4</v>
      </c>
      <c r="AG97">
        <v>0</v>
      </c>
      <c r="AH97">
        <v>1.09838855756376E-4</v>
      </c>
      <c r="AI97">
        <v>6.4050422668820799E-5</v>
      </c>
      <c r="AJ97">
        <v>0</v>
      </c>
      <c r="AK97">
        <v>0</v>
      </c>
      <c r="AL97">
        <v>1.48149776282957E-4</v>
      </c>
      <c r="AM97">
        <v>1.1571855449626599E-4</v>
      </c>
      <c r="AN97">
        <v>1.7046923020643001E-4</v>
      </c>
      <c r="AO97">
        <v>3.6556953809184297E-5</v>
      </c>
      <c r="AP97">
        <v>6.1471243706626705E-5</v>
      </c>
      <c r="AQ97">
        <v>4.9059599668938795E-4</v>
      </c>
      <c r="AR97">
        <v>0</v>
      </c>
      <c r="AS97">
        <v>3.3887848744841299E-4</v>
      </c>
      <c r="AT97">
        <v>1.9278134236393401E-5</v>
      </c>
      <c r="AU97">
        <v>0</v>
      </c>
      <c r="AV97">
        <v>2.5563658072730902E-4</v>
      </c>
      <c r="AW97">
        <v>5.0364091004438801E-4</v>
      </c>
      <c r="AX97">
        <v>2.8472526117739102E-4</v>
      </c>
      <c r="AY97">
        <v>0</v>
      </c>
      <c r="AZ97">
        <v>0</v>
      </c>
      <c r="BA97">
        <v>4.4077301673930102E-4</v>
      </c>
      <c r="BB97">
        <v>0</v>
      </c>
      <c r="BC97">
        <v>1.53979179110331E-4</v>
      </c>
      <c r="BD97">
        <v>0</v>
      </c>
      <c r="BE97">
        <v>2.1767021187782699E-5</v>
      </c>
      <c r="BF97">
        <v>2.03838399184732E-4</v>
      </c>
      <c r="BG97">
        <v>0</v>
      </c>
      <c r="BH97">
        <v>2.04700545499219E-4</v>
      </c>
      <c r="BI97">
        <v>0</v>
      </c>
      <c r="BJ97">
        <v>0</v>
      </c>
      <c r="BK97">
        <v>1.2712471725678801E-4</v>
      </c>
      <c r="BL97">
        <v>2.5784813824863398E-4</v>
      </c>
      <c r="BM97">
        <v>1.3415473322994301E-4</v>
      </c>
      <c r="BN97">
        <v>1.68286004735831E-4</v>
      </c>
      <c r="BO97">
        <v>0</v>
      </c>
      <c r="BP97">
        <v>0</v>
      </c>
      <c r="BQ97">
        <v>2.13382107407728E-4</v>
      </c>
      <c r="BR97">
        <v>7.24524373468186E-4</v>
      </c>
      <c r="BS97">
        <v>0</v>
      </c>
      <c r="BT97">
        <v>0</v>
      </c>
      <c r="BU97">
        <v>0</v>
      </c>
      <c r="BV97">
        <v>5.3194900391248497E-5</v>
      </c>
      <c r="BW97">
        <v>0</v>
      </c>
      <c r="BX97">
        <v>0</v>
      </c>
      <c r="BY97">
        <v>0</v>
      </c>
      <c r="BZ97">
        <v>1.6419124652543001E-4</v>
      </c>
      <c r="CA97">
        <v>0</v>
      </c>
      <c r="CB97">
        <v>2.57127779876038E-4</v>
      </c>
      <c r="CC97">
        <v>4.2534173670589597E-4</v>
      </c>
      <c r="CD97">
        <v>0</v>
      </c>
      <c r="CE97">
        <v>2.2234583570544E-4</v>
      </c>
      <c r="CF97">
        <v>4.9889023111299505E-4</v>
      </c>
      <c r="CG97">
        <v>4.2535936601099402E-4</v>
      </c>
      <c r="CH97">
        <v>0</v>
      </c>
      <c r="CI97">
        <v>0</v>
      </c>
      <c r="CJ97">
        <f>MAX(E97:CI97)</f>
        <v>7.24524373468186E-4</v>
      </c>
    </row>
    <row r="98" spans="1:88" x14ac:dyDescent="0.2">
      <c r="A98" t="s">
        <v>216</v>
      </c>
      <c r="B98" t="s">
        <v>216</v>
      </c>
      <c r="C98" t="s">
        <v>217</v>
      </c>
      <c r="D98" t="s">
        <v>218</v>
      </c>
      <c r="E98">
        <v>0</v>
      </c>
      <c r="F98">
        <v>0</v>
      </c>
      <c r="G98">
        <v>0</v>
      </c>
      <c r="H98">
        <v>0</v>
      </c>
      <c r="I98">
        <v>0</v>
      </c>
      <c r="J98">
        <v>1.2958925704633401E-3</v>
      </c>
      <c r="K98">
        <v>2.8824182576057798E-4</v>
      </c>
      <c r="L98">
        <v>4.3760572999476698E-4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5.8725402218022798E-4</v>
      </c>
      <c r="T98">
        <v>0</v>
      </c>
      <c r="U98">
        <v>1.9716735027044599E-4</v>
      </c>
      <c r="V98">
        <v>7.6876393306337699E-4</v>
      </c>
      <c r="W98">
        <v>0</v>
      </c>
      <c r="X98">
        <v>3.42891721510028E-5</v>
      </c>
      <c r="Y98">
        <v>2.4108378430889299E-4</v>
      </c>
      <c r="Z98">
        <v>8.8399131867154503E-5</v>
      </c>
      <c r="AA98">
        <v>0</v>
      </c>
      <c r="AB98">
        <v>0</v>
      </c>
      <c r="AC98">
        <v>0</v>
      </c>
      <c r="AD98">
        <v>5.7926461504627705E-4</v>
      </c>
      <c r="AE98">
        <v>4.0608224369953402E-4</v>
      </c>
      <c r="AF98">
        <v>1.1826793120333101E-3</v>
      </c>
      <c r="AG98">
        <v>2.3500332119424599E-4</v>
      </c>
      <c r="AH98">
        <v>2.6928985966668099E-5</v>
      </c>
      <c r="AI98">
        <v>1.14392091358982E-4</v>
      </c>
      <c r="AJ98">
        <v>8.1633797538726706E-5</v>
      </c>
      <c r="AK98">
        <v>1.5755783335158201E-4</v>
      </c>
      <c r="AL98">
        <v>0</v>
      </c>
      <c r="AM98">
        <v>6.4919026695066899E-5</v>
      </c>
      <c r="AN98">
        <v>0</v>
      </c>
      <c r="AO98">
        <v>0</v>
      </c>
      <c r="AP98">
        <v>8.1176065912394205E-5</v>
      </c>
      <c r="AQ98">
        <v>0</v>
      </c>
      <c r="AR98">
        <v>0</v>
      </c>
      <c r="AS98">
        <v>1.2342041432023099E-4</v>
      </c>
      <c r="AT98">
        <v>0</v>
      </c>
      <c r="AU98">
        <v>0</v>
      </c>
      <c r="AV98">
        <v>1.2623302802095801E-4</v>
      </c>
      <c r="AW98">
        <v>0</v>
      </c>
      <c r="AX98">
        <v>0</v>
      </c>
      <c r="AY98">
        <v>1.30677254057999E-4</v>
      </c>
      <c r="AZ98">
        <v>1.9908062705733E-4</v>
      </c>
      <c r="BA98">
        <v>2.3817545305439801E-4</v>
      </c>
      <c r="BB98">
        <v>7.6798015891692902E-5</v>
      </c>
      <c r="BC98">
        <v>0</v>
      </c>
      <c r="BD98">
        <v>0</v>
      </c>
      <c r="BE98">
        <v>0</v>
      </c>
      <c r="BF98">
        <v>6.5243161865572702E-5</v>
      </c>
      <c r="BG98">
        <v>0</v>
      </c>
      <c r="BH98">
        <v>1.64509127870831E-4</v>
      </c>
      <c r="BI98">
        <v>1.4207510968452399E-4</v>
      </c>
      <c r="BJ98">
        <v>0</v>
      </c>
      <c r="BK98">
        <v>0</v>
      </c>
      <c r="BL98">
        <v>1.7859117721132599E-4</v>
      </c>
      <c r="BM98">
        <v>0</v>
      </c>
      <c r="BN98">
        <v>0</v>
      </c>
      <c r="BO98">
        <v>1.6461825737561101E-4</v>
      </c>
      <c r="BP98">
        <v>1.90185761584417E-4</v>
      </c>
      <c r="BQ98">
        <v>0</v>
      </c>
      <c r="BR98">
        <v>0</v>
      </c>
      <c r="BS98">
        <v>1.9202598433306901E-4</v>
      </c>
      <c r="BT98">
        <v>0</v>
      </c>
      <c r="BU98">
        <v>0</v>
      </c>
      <c r="BV98">
        <v>0</v>
      </c>
      <c r="BW98">
        <v>9.56418570291458E-5</v>
      </c>
      <c r="BX98">
        <v>0</v>
      </c>
      <c r="BY98">
        <v>0</v>
      </c>
      <c r="BZ98">
        <v>3.2141785612664099E-4</v>
      </c>
      <c r="CA98">
        <v>0</v>
      </c>
      <c r="CB98">
        <v>2.6267878571048601E-4</v>
      </c>
      <c r="CC98">
        <v>2.1429498121935299E-4</v>
      </c>
      <c r="CD98">
        <v>2.18065519297416E-4</v>
      </c>
      <c r="CE98">
        <v>0</v>
      </c>
      <c r="CF98">
        <v>0</v>
      </c>
      <c r="CG98">
        <v>3.6480686301464501E-4</v>
      </c>
      <c r="CH98">
        <v>0</v>
      </c>
      <c r="CI98">
        <v>1.27224865377926E-4</v>
      </c>
      <c r="CJ98">
        <f>MAX(E98:CI98)</f>
        <v>1.2958925704633401E-3</v>
      </c>
    </row>
    <row r="99" spans="1:88" x14ac:dyDescent="0.2">
      <c r="A99" t="s">
        <v>219</v>
      </c>
      <c r="B99" t="s">
        <v>219</v>
      </c>
      <c r="C99" t="s">
        <v>220</v>
      </c>
      <c r="D99" t="s">
        <v>220</v>
      </c>
      <c r="E99">
        <v>6.4148129903089603E-4</v>
      </c>
      <c r="F99">
        <v>2.1870615224775102E-3</v>
      </c>
      <c r="G99">
        <v>1.3556481945149899E-3</v>
      </c>
      <c r="H99">
        <v>1.8550729809969298E-2</v>
      </c>
      <c r="I99">
        <v>4.7908767681946202E-3</v>
      </c>
      <c r="J99">
        <v>5.0492282105861605E-4</v>
      </c>
      <c r="K99">
        <v>0</v>
      </c>
      <c r="L99">
        <v>7.6011096936912207E-5</v>
      </c>
      <c r="M99">
        <v>0</v>
      </c>
      <c r="N99">
        <v>9.1892062649527798E-5</v>
      </c>
      <c r="O99">
        <v>0</v>
      </c>
      <c r="P99">
        <v>2.4801445871039E-4</v>
      </c>
      <c r="Q99">
        <v>3.5498172868715198E-3</v>
      </c>
      <c r="R99">
        <v>1.11531617332724E-4</v>
      </c>
      <c r="S99">
        <v>3.7689467368684699E-4</v>
      </c>
      <c r="T99">
        <v>1.0210593815492899E-3</v>
      </c>
      <c r="U99">
        <v>3.0708033095869702E-4</v>
      </c>
      <c r="V99">
        <v>5.0856913575029403E-3</v>
      </c>
      <c r="W99">
        <v>9.00096348781682E-4</v>
      </c>
      <c r="X99">
        <v>0</v>
      </c>
      <c r="Y99">
        <v>0</v>
      </c>
      <c r="Z99">
        <v>3.10641160508735E-4</v>
      </c>
      <c r="AA99">
        <v>2.5803819778996199E-3</v>
      </c>
      <c r="AB99">
        <v>2.5931939517323701E-3</v>
      </c>
      <c r="AC99">
        <v>2.81933056725493E-5</v>
      </c>
      <c r="AD99">
        <v>4.7643976306935203E-5</v>
      </c>
      <c r="AE99">
        <v>3.2809982594841601E-3</v>
      </c>
      <c r="AF99">
        <v>8.8375523623474898E-6</v>
      </c>
      <c r="AG99">
        <v>0</v>
      </c>
      <c r="AH99">
        <v>0</v>
      </c>
      <c r="AI99">
        <v>5.8826227748277799E-5</v>
      </c>
      <c r="AJ99">
        <v>0</v>
      </c>
      <c r="AK99">
        <v>5.5777494236057297E-5</v>
      </c>
      <c r="AL99">
        <v>0</v>
      </c>
      <c r="AM99">
        <v>6.8403606501349403E-5</v>
      </c>
      <c r="AN99">
        <v>0</v>
      </c>
      <c r="AO99">
        <v>1.3402876011515901E-4</v>
      </c>
      <c r="AP99">
        <v>8.9539775261422697E-5</v>
      </c>
      <c r="AQ99">
        <v>0</v>
      </c>
      <c r="AR99">
        <v>9.3897926052762901E-5</v>
      </c>
      <c r="AS99">
        <v>2.9181055729205E-5</v>
      </c>
      <c r="AT99">
        <v>7.2347745136183599E-3</v>
      </c>
      <c r="AU99">
        <v>0</v>
      </c>
      <c r="AV99">
        <v>0</v>
      </c>
      <c r="AW99">
        <v>7.2727892027549506E-5</v>
      </c>
      <c r="AX99">
        <v>8.9824746452643199E-5</v>
      </c>
      <c r="AY99">
        <v>0</v>
      </c>
      <c r="AZ99">
        <v>4.1617596958154402E-5</v>
      </c>
      <c r="BA99">
        <v>0</v>
      </c>
      <c r="BB99">
        <v>0</v>
      </c>
      <c r="BC99">
        <v>4.71602392868361E-4</v>
      </c>
      <c r="BD99">
        <v>0</v>
      </c>
      <c r="BE99">
        <v>0</v>
      </c>
      <c r="BF99">
        <v>1.0166348660747899E-4</v>
      </c>
      <c r="BG99">
        <v>4.8476583017483901E-5</v>
      </c>
      <c r="BH99">
        <v>1.80493680144035E-4</v>
      </c>
      <c r="BI99">
        <v>6.08417924153343E-5</v>
      </c>
      <c r="BJ99">
        <v>4.3020455066136902E-3</v>
      </c>
      <c r="BK99">
        <v>7.8594290904558905E-5</v>
      </c>
      <c r="BL99">
        <v>2.02120796034894E-4</v>
      </c>
      <c r="BM99">
        <v>0</v>
      </c>
      <c r="BN99">
        <v>4.6789133235463097E-5</v>
      </c>
      <c r="BO99">
        <v>1.05737490756017E-4</v>
      </c>
      <c r="BP99">
        <v>3.8910427291740902E-5</v>
      </c>
      <c r="BQ99">
        <v>7.7469900826014897E-5</v>
      </c>
      <c r="BR99">
        <v>0</v>
      </c>
      <c r="BS99">
        <v>0</v>
      </c>
      <c r="BT99">
        <v>0</v>
      </c>
      <c r="BU99">
        <v>4.8039447062629399E-4</v>
      </c>
      <c r="BV99">
        <v>0</v>
      </c>
      <c r="BW99">
        <v>0</v>
      </c>
      <c r="BX99">
        <v>6.8514737790775104E-5</v>
      </c>
      <c r="BY99">
        <v>0</v>
      </c>
      <c r="BZ99">
        <v>3.5721196715578701E-5</v>
      </c>
      <c r="CA99">
        <v>2.3328724803226E-4</v>
      </c>
      <c r="CB99">
        <v>0</v>
      </c>
      <c r="CC99">
        <v>0</v>
      </c>
      <c r="CD99">
        <v>1.6473314885616001E-4</v>
      </c>
      <c r="CE99">
        <v>7.10303574170084E-5</v>
      </c>
      <c r="CF99">
        <v>1.9932005576303599E-4</v>
      </c>
      <c r="CG99">
        <v>3.53576180462379E-5</v>
      </c>
      <c r="CH99">
        <v>0</v>
      </c>
      <c r="CI99">
        <v>1.91115539175448E-4</v>
      </c>
      <c r="CJ99">
        <f>MAX(E99:CI99)</f>
        <v>1.8550729809969298E-2</v>
      </c>
    </row>
    <row r="100" spans="1:88" x14ac:dyDescent="0.2">
      <c r="A100" t="s">
        <v>221</v>
      </c>
      <c r="B100" t="s">
        <v>221</v>
      </c>
      <c r="C100" t="s">
        <v>214</v>
      </c>
      <c r="D100" t="s">
        <v>214</v>
      </c>
      <c r="E100">
        <v>1.11457423631047E-3</v>
      </c>
      <c r="F100">
        <v>1.5562558608742301E-3</v>
      </c>
      <c r="G100">
        <v>3.5568618718322701E-3</v>
      </c>
      <c r="H100">
        <v>3.70313035458588E-3</v>
      </c>
      <c r="I100">
        <v>0</v>
      </c>
      <c r="J100">
        <v>0</v>
      </c>
      <c r="K100">
        <v>0</v>
      </c>
      <c r="L100">
        <v>1.0216308529065201E-3</v>
      </c>
      <c r="M100">
        <v>7.2306443393615495E-4</v>
      </c>
      <c r="N100">
        <v>0</v>
      </c>
      <c r="O100">
        <v>3.0952732894556402E-4</v>
      </c>
      <c r="P100">
        <v>9.8722694427083807E-4</v>
      </c>
      <c r="Q100">
        <v>6.9883073939946104E-4</v>
      </c>
      <c r="R100">
        <v>1.07919270256233E-3</v>
      </c>
      <c r="S100">
        <v>6.0763530580332703E-4</v>
      </c>
      <c r="T100">
        <v>4.4428535724401198E-4</v>
      </c>
      <c r="U100">
        <v>2.3674946158223601E-3</v>
      </c>
      <c r="V100">
        <v>1.20274067929864E-3</v>
      </c>
      <c r="W100">
        <v>1.6230877500263E-3</v>
      </c>
      <c r="X100">
        <v>5.2534185105471403E-4</v>
      </c>
      <c r="Y100">
        <v>1.7979640341183E-3</v>
      </c>
      <c r="Z100">
        <v>1.9728814982480098E-3</v>
      </c>
      <c r="AA100">
        <v>4.1098313439133999E-3</v>
      </c>
      <c r="AB100">
        <v>0</v>
      </c>
      <c r="AC100">
        <v>4.3126677382950901E-3</v>
      </c>
      <c r="AD100">
        <v>2.3380295723823001E-3</v>
      </c>
      <c r="AE100">
        <v>2.41373173254894E-3</v>
      </c>
      <c r="AF100">
        <v>4.4216259458850597E-3</v>
      </c>
      <c r="AG100">
        <v>1.8338761396879599E-3</v>
      </c>
      <c r="AH100">
        <v>1.32491189747752E-3</v>
      </c>
      <c r="AI100">
        <v>1.26409874453525E-3</v>
      </c>
      <c r="AJ100">
        <v>1.5505365211014299E-3</v>
      </c>
      <c r="AK100">
        <v>6.47205203014381E-4</v>
      </c>
      <c r="AL100">
        <v>2.0217758285116199E-3</v>
      </c>
      <c r="AM100">
        <v>1.7835159598913999E-3</v>
      </c>
      <c r="AN100">
        <v>2.31911347856429E-3</v>
      </c>
      <c r="AO100">
        <v>0</v>
      </c>
      <c r="AP100">
        <v>8.4864488898388495E-4</v>
      </c>
      <c r="AQ100">
        <v>2.5619461677447901E-3</v>
      </c>
      <c r="AR100">
        <v>1.08671084201839E-3</v>
      </c>
      <c r="AS100">
        <v>2.9543979956163698E-3</v>
      </c>
      <c r="AT100">
        <v>2.3054887109743901E-3</v>
      </c>
      <c r="AU100">
        <v>3.65843210844107E-3</v>
      </c>
      <c r="AV100">
        <v>3.3804771133258099E-3</v>
      </c>
      <c r="AW100">
        <v>4.3705490638913597E-3</v>
      </c>
      <c r="AX100">
        <v>2.1293546478973E-3</v>
      </c>
      <c r="AY100">
        <v>3.0373790981142201E-3</v>
      </c>
      <c r="AZ100">
        <v>4.0273743522745596E-3</v>
      </c>
      <c r="BA100">
        <v>3.7775132817963299E-3</v>
      </c>
      <c r="BB100">
        <v>2.5834853311807902E-3</v>
      </c>
      <c r="BC100">
        <v>2.1314001892345901E-3</v>
      </c>
      <c r="BD100">
        <v>3.4603099376367698E-3</v>
      </c>
      <c r="BE100">
        <v>1.05800811796593E-3</v>
      </c>
      <c r="BF100">
        <v>1.0873340794680601E-3</v>
      </c>
      <c r="BG100">
        <v>0</v>
      </c>
      <c r="BH100">
        <v>3.4305598461500698E-3</v>
      </c>
      <c r="BI100">
        <v>2.43024467385563E-3</v>
      </c>
      <c r="BJ100">
        <v>1.83598022844251E-3</v>
      </c>
      <c r="BK100">
        <v>2.1621110681539898E-3</v>
      </c>
      <c r="BL100">
        <v>1.7063023935801099E-3</v>
      </c>
      <c r="BM100">
        <v>2.2306375051519799E-3</v>
      </c>
      <c r="BN100">
        <v>1.9585289704912002E-3</v>
      </c>
      <c r="BO100">
        <v>1.9591920055998498E-3</v>
      </c>
      <c r="BP100">
        <v>1.8296246383675699E-3</v>
      </c>
      <c r="BQ100">
        <v>1.39480340851109E-3</v>
      </c>
      <c r="BR100">
        <v>3.7991024037533601E-3</v>
      </c>
      <c r="BS100">
        <v>1.53507288312303E-3</v>
      </c>
      <c r="BT100">
        <v>2.7176279470258599E-3</v>
      </c>
      <c r="BU100">
        <v>7.8095138597902803E-4</v>
      </c>
      <c r="BV100">
        <v>0</v>
      </c>
      <c r="BW100">
        <v>2.24380442418512E-3</v>
      </c>
      <c r="BX100">
        <v>1.7446929252378899E-3</v>
      </c>
      <c r="BY100">
        <v>3.6988523875868798E-5</v>
      </c>
      <c r="BZ100">
        <v>1.70331119176457E-3</v>
      </c>
      <c r="CA100">
        <v>2.08768514025349E-3</v>
      </c>
      <c r="CB100">
        <v>1.62286352765592E-3</v>
      </c>
      <c r="CC100">
        <v>2.7667059240651902E-3</v>
      </c>
      <c r="CD100">
        <v>1.6328714662968799E-3</v>
      </c>
      <c r="CE100">
        <v>2.1483547677289502E-3</v>
      </c>
      <c r="CF100">
        <v>3.54325166602321E-3</v>
      </c>
      <c r="CG100">
        <v>4.0957458511305701E-3</v>
      </c>
      <c r="CH100">
        <v>2.0476088596523001E-3</v>
      </c>
      <c r="CI100">
        <v>2.0081493083601602E-3</v>
      </c>
      <c r="CJ100">
        <f>MAX(E100:CI100)</f>
        <v>4.4216259458850597E-3</v>
      </c>
    </row>
    <row r="101" spans="1:88" x14ac:dyDescent="0.2">
      <c r="A101" t="s">
        <v>222</v>
      </c>
      <c r="B101" t="s">
        <v>223</v>
      </c>
      <c r="C101" t="s">
        <v>214</v>
      </c>
      <c r="D101" t="s">
        <v>214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3.5022407748644898E-5</v>
      </c>
      <c r="L101">
        <v>1.9682624173751702E-5</v>
      </c>
      <c r="M101">
        <v>0</v>
      </c>
      <c r="N101">
        <v>0</v>
      </c>
      <c r="O101">
        <v>0</v>
      </c>
      <c r="P101">
        <v>3.1485891895631501E-5</v>
      </c>
      <c r="Q101">
        <v>0</v>
      </c>
      <c r="R101">
        <v>0</v>
      </c>
      <c r="S101">
        <v>0</v>
      </c>
      <c r="T101">
        <v>1.1163438906938E-5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4.7688097856568499E-5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3.6097240252802797E-5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3.0044224603300401E-5</v>
      </c>
      <c r="BE101">
        <v>0</v>
      </c>
      <c r="BF101">
        <v>1.63603654309541E-4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5.3741155493138797E-5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3.4274253141303401E-5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1.3866344954948301E-5</v>
      </c>
      <c r="CE101">
        <v>0</v>
      </c>
      <c r="CF101">
        <v>0</v>
      </c>
      <c r="CG101">
        <v>7.02423447072881E-5</v>
      </c>
      <c r="CH101">
        <v>1.37844676974122E-4</v>
      </c>
      <c r="CI101">
        <v>0</v>
      </c>
      <c r="CJ101">
        <f>MAX(E101:CI101)</f>
        <v>1.63603654309541E-4</v>
      </c>
    </row>
    <row r="102" spans="1:88" x14ac:dyDescent="0.2">
      <c r="A102" t="s">
        <v>224</v>
      </c>
      <c r="B102" t="s">
        <v>224</v>
      </c>
      <c r="C102" t="s">
        <v>214</v>
      </c>
      <c r="D102" t="s">
        <v>214</v>
      </c>
      <c r="E102">
        <v>2.40630126849203E-5</v>
      </c>
      <c r="F102">
        <v>3.0166227362770498E-4</v>
      </c>
      <c r="G102">
        <v>0</v>
      </c>
      <c r="H102">
        <v>3.9356729330061202E-5</v>
      </c>
      <c r="I102">
        <v>0</v>
      </c>
      <c r="J102">
        <v>3.1204411757817297E-5</v>
      </c>
      <c r="K102">
        <v>0</v>
      </c>
      <c r="L102">
        <v>4.3920269870861301E-5</v>
      </c>
      <c r="M102">
        <v>3.7882706564078398E-5</v>
      </c>
      <c r="N102">
        <v>0</v>
      </c>
      <c r="O102">
        <v>0</v>
      </c>
      <c r="P102">
        <v>0</v>
      </c>
      <c r="Q102">
        <v>0</v>
      </c>
      <c r="R102">
        <v>6.3495361482716496E-5</v>
      </c>
      <c r="S102">
        <v>0</v>
      </c>
      <c r="T102">
        <v>0</v>
      </c>
      <c r="U102">
        <v>1.23836309234263E-4</v>
      </c>
      <c r="V102">
        <v>6.5627369944721396E-5</v>
      </c>
      <c r="W102">
        <v>0</v>
      </c>
      <c r="X102">
        <v>1.4385103799377E-5</v>
      </c>
      <c r="Y102">
        <v>0</v>
      </c>
      <c r="Z102">
        <v>5.30356627134374E-5</v>
      </c>
      <c r="AA102">
        <v>0</v>
      </c>
      <c r="AB102">
        <v>2.7651328392176601E-5</v>
      </c>
      <c r="AC102">
        <v>3.22013441192595E-4</v>
      </c>
      <c r="AD102">
        <v>1.3680689935869901E-4</v>
      </c>
      <c r="AE102">
        <v>1.3247593701386299E-4</v>
      </c>
      <c r="AF102">
        <v>0</v>
      </c>
      <c r="AG102">
        <v>2.2739609373482799E-5</v>
      </c>
      <c r="AH102">
        <v>0</v>
      </c>
      <c r="AI102">
        <v>0</v>
      </c>
      <c r="AJ102">
        <v>5.5621666913633003E-5</v>
      </c>
      <c r="AK102">
        <v>9.8409041088233197E-5</v>
      </c>
      <c r="AL102">
        <v>1.4024584387838099E-4</v>
      </c>
      <c r="AM102">
        <v>1.90380297000288E-4</v>
      </c>
      <c r="AN102">
        <v>9.30404923675281E-5</v>
      </c>
      <c r="AO102">
        <v>0</v>
      </c>
      <c r="AP102">
        <v>6.8200255238416005E-5</v>
      </c>
      <c r="AQ102">
        <v>0</v>
      </c>
      <c r="AR102">
        <v>0</v>
      </c>
      <c r="AS102">
        <v>3.94715335541551E-4</v>
      </c>
      <c r="AT102">
        <v>0</v>
      </c>
      <c r="AU102">
        <v>3.3326752789495501E-4</v>
      </c>
      <c r="AV102">
        <v>2.0048412987680301E-4</v>
      </c>
      <c r="AW102">
        <v>6.1909172625826696E-4</v>
      </c>
      <c r="AX102">
        <v>2.3917291683352599E-4</v>
      </c>
      <c r="AY102">
        <v>3.1258706302444799E-4</v>
      </c>
      <c r="AZ102">
        <v>2.75066689099515E-4</v>
      </c>
      <c r="BA102">
        <v>4.5958093038711302E-4</v>
      </c>
      <c r="BB102">
        <v>1.8722032723776199E-4</v>
      </c>
      <c r="BC102">
        <v>1.3776281232569601E-4</v>
      </c>
      <c r="BD102">
        <v>2.0143503113069199E-4</v>
      </c>
      <c r="BE102">
        <v>9.0436136358064501E-5</v>
      </c>
      <c r="BF102">
        <v>7.8201124845591404E-5</v>
      </c>
      <c r="BG102">
        <v>0</v>
      </c>
      <c r="BH102">
        <v>0</v>
      </c>
      <c r="BI102">
        <v>1.30944722612199E-4</v>
      </c>
      <c r="BJ102">
        <v>2.4802702266531302E-5</v>
      </c>
      <c r="BK102">
        <v>9.2475353469735399E-5</v>
      </c>
      <c r="BL102">
        <v>0</v>
      </c>
      <c r="BM102">
        <v>1.16857610061974E-4</v>
      </c>
      <c r="BN102">
        <v>0</v>
      </c>
      <c r="BO102">
        <v>0</v>
      </c>
      <c r="BP102">
        <v>1.69528609546319E-4</v>
      </c>
      <c r="BQ102">
        <v>1.1607722043131E-4</v>
      </c>
      <c r="BR102">
        <v>7.0761332097023905E-4</v>
      </c>
      <c r="BS102">
        <v>1.4936127078832401E-4</v>
      </c>
      <c r="BT102">
        <v>2.0001105471076201E-4</v>
      </c>
      <c r="BU102">
        <v>0</v>
      </c>
      <c r="BV102">
        <v>0</v>
      </c>
      <c r="BW102">
        <v>1.27461492643927E-4</v>
      </c>
      <c r="BX102">
        <v>4.4538337303094099E-5</v>
      </c>
      <c r="BY102">
        <v>0</v>
      </c>
      <c r="BZ102">
        <v>2.3392304038402799E-4</v>
      </c>
      <c r="CA102">
        <v>9.4292467335874193E-5</v>
      </c>
      <c r="CB102">
        <v>1.3675965608873E-4</v>
      </c>
      <c r="CC102">
        <v>2.08171369826553E-4</v>
      </c>
      <c r="CD102">
        <v>7.6839406189515793E-5</v>
      </c>
      <c r="CE102">
        <v>0</v>
      </c>
      <c r="CF102">
        <v>0</v>
      </c>
      <c r="CG102">
        <v>5.1921233319526198E-4</v>
      </c>
      <c r="CH102">
        <v>0</v>
      </c>
      <c r="CI102">
        <v>2.2751183852902899E-4</v>
      </c>
      <c r="CJ102">
        <f>MAX(E102:CI102)</f>
        <v>7.0761332097023905E-4</v>
      </c>
    </row>
    <row r="103" spans="1:88" x14ac:dyDescent="0.2">
      <c r="A103" t="s">
        <v>225</v>
      </c>
      <c r="B103" t="s">
        <v>225</v>
      </c>
      <c r="C103" t="s">
        <v>214</v>
      </c>
      <c r="D103" t="s">
        <v>214</v>
      </c>
      <c r="E103">
        <v>0</v>
      </c>
      <c r="F103">
        <v>0</v>
      </c>
      <c r="G103">
        <v>2.4500277308958598E-5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2.0008429437007601E-4</v>
      </c>
      <c r="R103">
        <v>0</v>
      </c>
      <c r="S103">
        <v>7.3677011225798793E-5</v>
      </c>
      <c r="T103">
        <v>0</v>
      </c>
      <c r="U103">
        <v>0</v>
      </c>
      <c r="V103">
        <v>0</v>
      </c>
      <c r="W103">
        <v>1.19177700066285E-4</v>
      </c>
      <c r="X103">
        <v>0</v>
      </c>
      <c r="Y103">
        <v>0</v>
      </c>
      <c r="Z103">
        <v>5.3773090822609499E-5</v>
      </c>
      <c r="AA103">
        <v>0</v>
      </c>
      <c r="AB103">
        <v>0</v>
      </c>
      <c r="AC103">
        <v>0</v>
      </c>
      <c r="AD103">
        <v>0</v>
      </c>
      <c r="AE103">
        <v>1.2444859560933601E-4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3.3079352498392603E-5</v>
      </c>
      <c r="AV103">
        <v>0</v>
      </c>
      <c r="AW103">
        <v>4.69893026635291E-5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2.8462955906000801E-5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1.75539557802051E-4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f>MAX(E103:CI103)</f>
        <v>2.0008429437007601E-4</v>
      </c>
    </row>
    <row r="104" spans="1:88" x14ac:dyDescent="0.2">
      <c r="A104" t="s">
        <v>226</v>
      </c>
      <c r="B104" t="s">
        <v>226</v>
      </c>
      <c r="C104" t="s">
        <v>214</v>
      </c>
      <c r="D104" t="s">
        <v>214</v>
      </c>
      <c r="E104">
        <v>0</v>
      </c>
      <c r="F104">
        <v>3.1490822209886998E-4</v>
      </c>
      <c r="G104">
        <v>4.7216305266591698E-4</v>
      </c>
      <c r="H104">
        <v>2.34203833811493E-3</v>
      </c>
      <c r="I104">
        <v>2.7539560174618001E-4</v>
      </c>
      <c r="J104">
        <v>0</v>
      </c>
      <c r="K104">
        <v>0</v>
      </c>
      <c r="L104">
        <v>3.9563618004358802E-5</v>
      </c>
      <c r="M104">
        <v>0</v>
      </c>
      <c r="N104">
        <v>0</v>
      </c>
      <c r="O104">
        <v>0</v>
      </c>
      <c r="P104">
        <v>7.6704174435830705E-5</v>
      </c>
      <c r="Q104">
        <v>0</v>
      </c>
      <c r="R104">
        <v>9.0963047096927205E-5</v>
      </c>
      <c r="S104">
        <v>4.7976548389178898E-5</v>
      </c>
      <c r="T104">
        <v>2.3911399748075301E-5</v>
      </c>
      <c r="U104">
        <v>0</v>
      </c>
      <c r="V104">
        <v>2.2945894898049901E-3</v>
      </c>
      <c r="W104">
        <v>1.4423478117902099E-4</v>
      </c>
      <c r="X104">
        <v>0</v>
      </c>
      <c r="Y104">
        <v>0</v>
      </c>
      <c r="Z104">
        <v>0</v>
      </c>
      <c r="AA104">
        <v>0</v>
      </c>
      <c r="AB104">
        <v>4.66902285693643E-4</v>
      </c>
      <c r="AC104">
        <v>6.0909214672423798E-6</v>
      </c>
      <c r="AD104">
        <v>0</v>
      </c>
      <c r="AE104">
        <v>7.4083927831302297E-3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1.8990001541912502E-5</v>
      </c>
      <c r="AQ104">
        <v>0</v>
      </c>
      <c r="AR104">
        <v>0</v>
      </c>
      <c r="AS104">
        <v>0</v>
      </c>
      <c r="AT104">
        <v>1.22664530243192E-3</v>
      </c>
      <c r="AU104">
        <v>0</v>
      </c>
      <c r="AV104">
        <v>1.4437932264788601E-4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7.6909325043174803E-4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8.4908858042464697E-6</v>
      </c>
      <c r="BJ104">
        <v>2.5182045250800502E-3</v>
      </c>
      <c r="BK104">
        <v>0</v>
      </c>
      <c r="BL104">
        <v>9.2885944172860293E-6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1.43349109695697E-5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3.4448474930121502E-5</v>
      </c>
      <c r="CA104">
        <v>0</v>
      </c>
      <c r="CB104">
        <v>0</v>
      </c>
      <c r="CC104">
        <v>7.7551821005365502E-5</v>
      </c>
      <c r="CD104">
        <v>0</v>
      </c>
      <c r="CE104">
        <v>0</v>
      </c>
      <c r="CF104">
        <v>0</v>
      </c>
      <c r="CG104">
        <v>3.9721258507529299E-4</v>
      </c>
      <c r="CH104">
        <v>0</v>
      </c>
      <c r="CI104">
        <v>0</v>
      </c>
      <c r="CJ104">
        <f>MAX(E104:CI104)</f>
        <v>7.4083927831302297E-3</v>
      </c>
    </row>
    <row r="105" spans="1:88" x14ac:dyDescent="0.2">
      <c r="A105" t="s">
        <v>227</v>
      </c>
      <c r="B105" t="s">
        <v>227</v>
      </c>
      <c r="C105" t="s">
        <v>214</v>
      </c>
      <c r="D105" t="s">
        <v>214</v>
      </c>
      <c r="E105">
        <v>5.2493677645967199E-5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1.04753851572391E-4</v>
      </c>
      <c r="R105">
        <v>2.6071799042887999E-5</v>
      </c>
      <c r="S105">
        <v>1.47144488621714E-5</v>
      </c>
      <c r="T105">
        <v>0</v>
      </c>
      <c r="U105">
        <v>0</v>
      </c>
      <c r="V105">
        <v>0</v>
      </c>
      <c r="W105">
        <v>5.4261150765410499E-5</v>
      </c>
      <c r="X105">
        <v>0</v>
      </c>
      <c r="Y105">
        <v>0</v>
      </c>
      <c r="Z105">
        <v>1.4552680679693901E-4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1.13889057783308E-4</v>
      </c>
      <c r="AN105">
        <v>0</v>
      </c>
      <c r="AO105">
        <v>0</v>
      </c>
      <c r="AP105">
        <v>0</v>
      </c>
      <c r="AQ105">
        <v>0</v>
      </c>
      <c r="AR105">
        <v>1.52379659926215E-5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2.6839103184389E-5</v>
      </c>
      <c r="BF105">
        <v>6.1722996239323602E-4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f>MAX(E105:CI105)</f>
        <v>6.1722996239323602E-4</v>
      </c>
    </row>
    <row r="106" spans="1:88" x14ac:dyDescent="0.2">
      <c r="A106" t="s">
        <v>228</v>
      </c>
      <c r="B106" t="s">
        <v>228</v>
      </c>
      <c r="C106" t="s">
        <v>214</v>
      </c>
      <c r="D106" t="s">
        <v>214</v>
      </c>
      <c r="E106">
        <v>4.5498072666807698E-3</v>
      </c>
      <c r="F106">
        <v>1.7246898202168098E-2</v>
      </c>
      <c r="G106">
        <v>5.2666323204145502E-3</v>
      </c>
      <c r="H106">
        <v>6.5969622665436406E-2</v>
      </c>
      <c r="I106">
        <v>2.3668187439461499E-2</v>
      </c>
      <c r="J106">
        <v>2.9927676447901101E-3</v>
      </c>
      <c r="K106">
        <v>1.0282956532862599E-4</v>
      </c>
      <c r="L106">
        <v>4.42885029079343E-4</v>
      </c>
      <c r="M106">
        <v>3.4882130297120298E-5</v>
      </c>
      <c r="N106">
        <v>0</v>
      </c>
      <c r="O106">
        <v>4.3155683563661398E-4</v>
      </c>
      <c r="P106">
        <v>0</v>
      </c>
      <c r="Q106">
        <v>2.3528324430607601E-2</v>
      </c>
      <c r="R106">
        <v>1.2752196611723701E-3</v>
      </c>
      <c r="S106">
        <v>3.2505436324254799E-3</v>
      </c>
      <c r="T106">
        <v>3.1592063961148201E-3</v>
      </c>
      <c r="U106">
        <v>0</v>
      </c>
      <c r="V106">
        <v>2.4907606732196001E-2</v>
      </c>
      <c r="W106">
        <v>7.2379236900773202E-3</v>
      </c>
      <c r="X106">
        <v>5.3546858916504205E-4</v>
      </c>
      <c r="Y106">
        <v>0</v>
      </c>
      <c r="Z106">
        <v>1.32961528795731E-3</v>
      </c>
      <c r="AA106">
        <v>1.1028310878745499E-2</v>
      </c>
      <c r="AB106">
        <v>8.9255297111452501E-3</v>
      </c>
      <c r="AC106">
        <v>1.09401430314152E-5</v>
      </c>
      <c r="AD106">
        <v>3.1322469859253898E-4</v>
      </c>
      <c r="AE106">
        <v>1.37609051058369E-2</v>
      </c>
      <c r="AF106">
        <v>2.03960937725014E-4</v>
      </c>
      <c r="AG106">
        <v>6.4511776278694299E-5</v>
      </c>
      <c r="AH106">
        <v>0</v>
      </c>
      <c r="AI106">
        <v>1.3761950772177899E-5</v>
      </c>
      <c r="AJ106">
        <v>0</v>
      </c>
      <c r="AK106">
        <v>8.2217828082203505E-5</v>
      </c>
      <c r="AL106">
        <v>3.2008034022607799E-5</v>
      </c>
      <c r="AM106">
        <v>1.9360296313780101E-4</v>
      </c>
      <c r="AN106">
        <v>1.27772678791672E-4</v>
      </c>
      <c r="AO106">
        <v>5.0603202186458099E-3</v>
      </c>
      <c r="AP106">
        <v>0</v>
      </c>
      <c r="AQ106">
        <v>8.4236051221595303E-4</v>
      </c>
      <c r="AR106">
        <v>0</v>
      </c>
      <c r="AS106">
        <v>0</v>
      </c>
      <c r="AT106">
        <v>3.7650781926395503E-2</v>
      </c>
      <c r="AU106">
        <v>3.8643370602887899E-5</v>
      </c>
      <c r="AV106">
        <v>7.7153742988233395E-5</v>
      </c>
      <c r="AW106">
        <v>3.3323760154185399E-4</v>
      </c>
      <c r="AX106">
        <v>1.5328617949605201E-4</v>
      </c>
      <c r="AY106">
        <v>1.5040802202240301E-4</v>
      </c>
      <c r="AZ106">
        <v>2.38527798576351E-4</v>
      </c>
      <c r="BA106">
        <v>0</v>
      </c>
      <c r="BB106">
        <v>0</v>
      </c>
      <c r="BC106">
        <v>2.4957782750444899E-3</v>
      </c>
      <c r="BD106">
        <v>5.1154400576385896E-4</v>
      </c>
      <c r="BE106">
        <v>0</v>
      </c>
      <c r="BF106">
        <v>9.1550980520166197E-4</v>
      </c>
      <c r="BG106">
        <v>4.7093937163838799E-5</v>
      </c>
      <c r="BH106">
        <v>3.3507497973755002E-4</v>
      </c>
      <c r="BI106">
        <v>1.6463531539888699E-4</v>
      </c>
      <c r="BJ106">
        <v>0</v>
      </c>
      <c r="BK106">
        <v>4.57212399653645E-4</v>
      </c>
      <c r="BL106">
        <v>0</v>
      </c>
      <c r="BM106">
        <v>9.3779950679521296E-5</v>
      </c>
      <c r="BN106">
        <v>0</v>
      </c>
      <c r="BO106">
        <v>0</v>
      </c>
      <c r="BP106">
        <v>1.4582869856843601E-4</v>
      </c>
      <c r="BQ106">
        <v>0</v>
      </c>
      <c r="BR106">
        <v>2.3278554019710299E-5</v>
      </c>
      <c r="BS106">
        <v>0</v>
      </c>
      <c r="BT106">
        <v>4.9782075599623897E-5</v>
      </c>
      <c r="BU106">
        <v>0</v>
      </c>
      <c r="BV106">
        <v>0</v>
      </c>
      <c r="BW106">
        <v>0</v>
      </c>
      <c r="BX106">
        <v>9.2084598740958798E-5</v>
      </c>
      <c r="BY106">
        <v>7.3261870036786595E-5</v>
      </c>
      <c r="BZ106">
        <v>1.51954651900965E-4</v>
      </c>
      <c r="CA106">
        <v>6.6592144359043997E-4</v>
      </c>
      <c r="CB106">
        <v>4.2985303752969198E-5</v>
      </c>
      <c r="CC106">
        <v>0</v>
      </c>
      <c r="CD106">
        <v>3.0560960531430799E-4</v>
      </c>
      <c r="CE106">
        <v>0</v>
      </c>
      <c r="CF106">
        <v>4.3597943075321101E-4</v>
      </c>
      <c r="CG106">
        <v>1.44634866810786E-4</v>
      </c>
      <c r="CH106">
        <v>3.1978567105908802E-4</v>
      </c>
      <c r="CI106">
        <v>0</v>
      </c>
      <c r="CJ106">
        <f>MAX(E106:CI106)</f>
        <v>6.5969622665436406E-2</v>
      </c>
    </row>
    <row r="107" spans="1:88" x14ac:dyDescent="0.2">
      <c r="A107" t="s">
        <v>229</v>
      </c>
      <c r="B107" t="s">
        <v>229</v>
      </c>
      <c r="C107" t="s">
        <v>230</v>
      </c>
      <c r="D107" t="s">
        <v>214</v>
      </c>
      <c r="E107">
        <v>0</v>
      </c>
      <c r="F107">
        <v>0</v>
      </c>
      <c r="G107">
        <v>1.0138320118574799E-5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4.4609155330424703E-5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4.4297477885291702E-5</v>
      </c>
      <c r="AV107">
        <v>0</v>
      </c>
      <c r="AW107">
        <v>2.7688600168196899E-5</v>
      </c>
      <c r="AX107">
        <v>3.2420596419199901E-5</v>
      </c>
      <c r="AY107">
        <v>1.01983755359188E-5</v>
      </c>
      <c r="AZ107">
        <v>0</v>
      </c>
      <c r="BA107">
        <v>7.8351443128469298E-5</v>
      </c>
      <c r="BB107">
        <v>2.66854788325756E-5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1.24825984496437E-5</v>
      </c>
      <c r="BO107">
        <v>0</v>
      </c>
      <c r="BP107">
        <v>0</v>
      </c>
      <c r="BQ107">
        <v>8.2803367631904899E-6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3.9472169765235599E-5</v>
      </c>
      <c r="CH107">
        <v>0</v>
      </c>
      <c r="CI107">
        <v>1.6622295552112499E-5</v>
      </c>
      <c r="CJ107">
        <f>MAX(E107:CI107)</f>
        <v>7.8351443128469298E-5</v>
      </c>
    </row>
    <row r="108" spans="1:88" x14ac:dyDescent="0.2">
      <c r="A108" t="s">
        <v>231</v>
      </c>
      <c r="B108" t="s">
        <v>231</v>
      </c>
      <c r="C108" t="s">
        <v>214</v>
      </c>
      <c r="D108" t="s">
        <v>214</v>
      </c>
      <c r="E108">
        <v>5.9422374214075104E-4</v>
      </c>
      <c r="F108">
        <v>0</v>
      </c>
      <c r="G108">
        <v>8.3862730777879604E-4</v>
      </c>
      <c r="H108">
        <v>0</v>
      </c>
      <c r="I108">
        <v>1.2493697888104699E-4</v>
      </c>
      <c r="J108">
        <v>1.2599519992726E-4</v>
      </c>
      <c r="K108">
        <v>0</v>
      </c>
      <c r="L108">
        <v>0</v>
      </c>
      <c r="M108">
        <v>2.4193962323532201E-4</v>
      </c>
      <c r="N108">
        <v>0</v>
      </c>
      <c r="O108">
        <v>0</v>
      </c>
      <c r="P108">
        <v>3.6378517777457098E-4</v>
      </c>
      <c r="Q108">
        <v>1.0452255083881E-4</v>
      </c>
      <c r="R108">
        <v>0</v>
      </c>
      <c r="S108">
        <v>2.09976648724164E-4</v>
      </c>
      <c r="T108">
        <v>1.43003609675801E-4</v>
      </c>
      <c r="U108">
        <v>0</v>
      </c>
      <c r="V108">
        <v>1.45875043983599E-4</v>
      </c>
      <c r="W108">
        <v>0</v>
      </c>
      <c r="X108">
        <v>0</v>
      </c>
      <c r="Y108">
        <v>0</v>
      </c>
      <c r="Z108">
        <v>3.05700395081109E-4</v>
      </c>
      <c r="AA108">
        <v>7.1335547697226804E-4</v>
      </c>
      <c r="AB108">
        <v>1.00105283522981E-4</v>
      </c>
      <c r="AC108">
        <v>6.4602600448071404E-4</v>
      </c>
      <c r="AD108">
        <v>0</v>
      </c>
      <c r="AE108">
        <v>4.7569216683015798E-4</v>
      </c>
      <c r="AF108">
        <v>4.5577447554383401E-4</v>
      </c>
      <c r="AG108">
        <v>0</v>
      </c>
      <c r="AH108">
        <v>0</v>
      </c>
      <c r="AI108">
        <v>0</v>
      </c>
      <c r="AJ108">
        <v>1.1241415492186001E-4</v>
      </c>
      <c r="AK108">
        <v>2.8246067980113699E-4</v>
      </c>
      <c r="AL108">
        <v>2.0122919970711801E-4</v>
      </c>
      <c r="AM108">
        <v>4.0673355254258802E-4</v>
      </c>
      <c r="AN108">
        <v>0</v>
      </c>
      <c r="AO108">
        <v>0</v>
      </c>
      <c r="AP108">
        <v>2.138779437079E-4</v>
      </c>
      <c r="AQ108">
        <v>0</v>
      </c>
      <c r="AR108">
        <v>1.2378413894056399E-4</v>
      </c>
      <c r="AS108">
        <v>1.0873190574963801E-3</v>
      </c>
      <c r="AT108">
        <v>7.7705185224309796E-5</v>
      </c>
      <c r="AU108">
        <v>6.2477551331837397E-4</v>
      </c>
      <c r="AV108">
        <v>5.7704807954032304E-4</v>
      </c>
      <c r="AW108">
        <v>1.0696113432989E-3</v>
      </c>
      <c r="AX108">
        <v>5.5057691751555799E-4</v>
      </c>
      <c r="AY108">
        <v>6.7642710216902601E-4</v>
      </c>
      <c r="AZ108">
        <v>8.4438789750994195E-4</v>
      </c>
      <c r="BA108">
        <v>1.52623356377692E-3</v>
      </c>
      <c r="BB108">
        <v>6.6120480356111899E-4</v>
      </c>
      <c r="BC108">
        <v>0</v>
      </c>
      <c r="BD108">
        <v>8.5250512790923099E-4</v>
      </c>
      <c r="BE108">
        <v>0</v>
      </c>
      <c r="BF108">
        <v>5.4266648444243899E-4</v>
      </c>
      <c r="BG108">
        <v>0</v>
      </c>
      <c r="BH108">
        <v>0</v>
      </c>
      <c r="BI108">
        <v>6.5396423859828505E-4</v>
      </c>
      <c r="BJ108">
        <v>6.3209011699940103E-4</v>
      </c>
      <c r="BK108">
        <v>0</v>
      </c>
      <c r="BL108">
        <v>4.5127263617697098E-4</v>
      </c>
      <c r="BM108">
        <v>7.6311325999493698E-4</v>
      </c>
      <c r="BN108">
        <v>3.76285947692024E-4</v>
      </c>
      <c r="BO108">
        <v>0</v>
      </c>
      <c r="BP108">
        <v>0</v>
      </c>
      <c r="BQ108">
        <v>0</v>
      </c>
      <c r="BR108">
        <v>1.1329950175041101E-3</v>
      </c>
      <c r="BS108">
        <v>4.2314381765932399E-4</v>
      </c>
      <c r="BT108">
        <v>1.6773782215449601E-3</v>
      </c>
      <c r="BU108">
        <v>0</v>
      </c>
      <c r="BV108">
        <v>1.08558041600458E-4</v>
      </c>
      <c r="BW108">
        <v>0</v>
      </c>
      <c r="BX108">
        <v>7.05436618982328E-4</v>
      </c>
      <c r="BY108">
        <v>0</v>
      </c>
      <c r="BZ108">
        <v>0</v>
      </c>
      <c r="CA108">
        <v>0</v>
      </c>
      <c r="CB108">
        <v>0</v>
      </c>
      <c r="CC108">
        <v>6.9741293817049898E-4</v>
      </c>
      <c r="CD108">
        <v>4.6331994914225499E-4</v>
      </c>
      <c r="CE108">
        <v>6.4508062789218597E-4</v>
      </c>
      <c r="CF108">
        <v>1.46772266234634E-3</v>
      </c>
      <c r="CG108">
        <v>1.02481860222029E-3</v>
      </c>
      <c r="CH108">
        <v>6.5628578856685704E-4</v>
      </c>
      <c r="CI108">
        <v>0</v>
      </c>
      <c r="CJ108">
        <f>MAX(E108:CI108)</f>
        <v>1.6773782215449601E-3</v>
      </c>
    </row>
    <row r="109" spans="1:88" x14ac:dyDescent="0.2">
      <c r="A109" t="s">
        <v>232</v>
      </c>
      <c r="B109" t="s">
        <v>232</v>
      </c>
      <c r="C109" t="s">
        <v>214</v>
      </c>
      <c r="D109" t="s">
        <v>214</v>
      </c>
      <c r="E109">
        <v>0</v>
      </c>
      <c r="F109">
        <v>0</v>
      </c>
      <c r="G109">
        <v>0</v>
      </c>
      <c r="H109">
        <v>7.7769265995196992E-6</v>
      </c>
      <c r="I109">
        <v>0</v>
      </c>
      <c r="J109">
        <v>0</v>
      </c>
      <c r="K109">
        <v>2.2095457585216599E-5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1.9478791098528701E-5</v>
      </c>
      <c r="AD109">
        <v>0</v>
      </c>
      <c r="AE109">
        <v>0</v>
      </c>
      <c r="AF109">
        <v>1.47285841371162E-5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4.9124144479164099E-5</v>
      </c>
      <c r="AT109">
        <v>0</v>
      </c>
      <c r="AU109">
        <v>2.3275820536787201E-5</v>
      </c>
      <c r="AV109">
        <v>0</v>
      </c>
      <c r="AW109">
        <v>2.90667851160565E-5</v>
      </c>
      <c r="AX109">
        <v>0</v>
      </c>
      <c r="AY109">
        <v>1.8386666548794502E-5</v>
      </c>
      <c r="AZ109">
        <v>1.3014964864038001E-5</v>
      </c>
      <c r="BA109">
        <v>0</v>
      </c>
      <c r="BB109">
        <v>0</v>
      </c>
      <c r="BC109">
        <v>8.2600561582464598E-6</v>
      </c>
      <c r="BD109">
        <v>0</v>
      </c>
      <c r="BE109">
        <v>0</v>
      </c>
      <c r="BF109">
        <v>0</v>
      </c>
      <c r="BG109">
        <v>0</v>
      </c>
      <c r="BH109">
        <v>3.8783500069040699E-5</v>
      </c>
      <c r="BI109">
        <v>0</v>
      </c>
      <c r="BJ109">
        <v>1.4956294219969701E-5</v>
      </c>
      <c r="BK109">
        <v>0</v>
      </c>
      <c r="BL109">
        <v>0</v>
      </c>
      <c r="BM109">
        <v>0</v>
      </c>
      <c r="BN109">
        <v>6.9398966032863504E-6</v>
      </c>
      <c r="BO109">
        <v>1.31059950623253E-5</v>
      </c>
      <c r="BP109">
        <v>3.4901412201992899E-5</v>
      </c>
      <c r="BQ109">
        <v>1.6471077096276099E-5</v>
      </c>
      <c r="BR109">
        <v>5.1019359247441698E-5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2.9201018537972E-5</v>
      </c>
      <c r="CA109">
        <v>0</v>
      </c>
      <c r="CB109">
        <v>0</v>
      </c>
      <c r="CC109">
        <v>1.8341379630399198E-5</v>
      </c>
      <c r="CD109">
        <v>1.24732032729631E-5</v>
      </c>
      <c r="CE109">
        <v>8.29304458043391E-6</v>
      </c>
      <c r="CF109">
        <v>1.6785102590546399E-5</v>
      </c>
      <c r="CG109">
        <v>3.8990607334621197E-5</v>
      </c>
      <c r="CH109">
        <v>0</v>
      </c>
      <c r="CI109">
        <v>0</v>
      </c>
      <c r="CJ109">
        <f>MAX(E109:CI109)</f>
        <v>5.1019359247441698E-5</v>
      </c>
    </row>
    <row r="110" spans="1:88" x14ac:dyDescent="0.2">
      <c r="A110" t="s">
        <v>233</v>
      </c>
      <c r="B110" t="s">
        <v>233</v>
      </c>
      <c r="C110" t="s">
        <v>214</v>
      </c>
      <c r="D110" t="s">
        <v>214</v>
      </c>
      <c r="E110">
        <v>1.14029179668961E-4</v>
      </c>
      <c r="F110">
        <v>4.9124144479163801E-5</v>
      </c>
      <c r="G110">
        <v>1.75688769051805E-4</v>
      </c>
      <c r="H110">
        <v>1.2907971564268401E-5</v>
      </c>
      <c r="I110">
        <v>3.71477915589092E-5</v>
      </c>
      <c r="J110">
        <v>1.5561662781640001E-5</v>
      </c>
      <c r="K110">
        <v>1.19575168077953E-4</v>
      </c>
      <c r="L110">
        <v>0</v>
      </c>
      <c r="M110">
        <v>0</v>
      </c>
      <c r="N110">
        <v>0</v>
      </c>
      <c r="O110">
        <v>0</v>
      </c>
      <c r="P110">
        <v>3.6390665677030502E-5</v>
      </c>
      <c r="Q110">
        <v>1.8083604493006801E-5</v>
      </c>
      <c r="R110">
        <v>3.3407040224587001E-5</v>
      </c>
      <c r="S110">
        <v>7.6796601232990007E-6</v>
      </c>
      <c r="T110">
        <v>0</v>
      </c>
      <c r="U110">
        <v>0</v>
      </c>
      <c r="V110">
        <v>6.3421279572413507E-5</v>
      </c>
      <c r="W110">
        <v>0</v>
      </c>
      <c r="X110">
        <v>0</v>
      </c>
      <c r="Y110">
        <v>3.2932067734882301E-5</v>
      </c>
      <c r="Z110">
        <v>2.7639870250261499E-5</v>
      </c>
      <c r="AA110">
        <v>2.23814387026411E-4</v>
      </c>
      <c r="AB110">
        <v>7.9536595972169807E-6</v>
      </c>
      <c r="AC110">
        <v>1.7323514343944599E-4</v>
      </c>
      <c r="AD110">
        <v>8.1722943372638905E-5</v>
      </c>
      <c r="AE110">
        <v>8.4314253651996996E-5</v>
      </c>
      <c r="AF110">
        <v>5.4185863671140902E-5</v>
      </c>
      <c r="AG110">
        <v>9.9491733984139296E-5</v>
      </c>
      <c r="AH110">
        <v>5.4022166859903199E-5</v>
      </c>
      <c r="AI110">
        <v>5.6587824767104302E-5</v>
      </c>
      <c r="AJ110">
        <v>6.8162105947687502E-5</v>
      </c>
      <c r="AK110">
        <v>8.16817436484998E-5</v>
      </c>
      <c r="AL110">
        <v>4.2563957413961302E-5</v>
      </c>
      <c r="AM110">
        <v>1.5939144212104799E-4</v>
      </c>
      <c r="AN110">
        <v>4.7298677743107899E-5</v>
      </c>
      <c r="AO110">
        <v>0</v>
      </c>
      <c r="AP110">
        <v>4.4903169825082802E-5</v>
      </c>
      <c r="AQ110">
        <v>0</v>
      </c>
      <c r="AR110">
        <v>0</v>
      </c>
      <c r="AS110">
        <v>1.03502299839325E-4</v>
      </c>
      <c r="AT110">
        <v>9.3537552071731597E-6</v>
      </c>
      <c r="AU110">
        <v>2.2702359677636099E-4</v>
      </c>
      <c r="AV110">
        <v>8.0271614867188798E-5</v>
      </c>
      <c r="AW110">
        <v>7.7273218253950005E-5</v>
      </c>
      <c r="AX110">
        <v>1.0158626663561901E-4</v>
      </c>
      <c r="AY110">
        <v>5.3329559936800503E-5</v>
      </c>
      <c r="AZ110">
        <v>1.7551409537847301E-4</v>
      </c>
      <c r="BA110">
        <v>1.18947412737373E-4</v>
      </c>
      <c r="BB110">
        <v>8.9409980466603994E-5</v>
      </c>
      <c r="BC110">
        <v>1.1747352480557999E-4</v>
      </c>
      <c r="BD110">
        <v>2.1490276337520999E-4</v>
      </c>
      <c r="BE110">
        <v>3.6940774787967103E-5</v>
      </c>
      <c r="BF110">
        <v>4.7194566360413601E-5</v>
      </c>
      <c r="BG110">
        <v>0</v>
      </c>
      <c r="BH110">
        <v>6.5763966584887895E-5</v>
      </c>
      <c r="BI110">
        <v>9.4780282758881505E-5</v>
      </c>
      <c r="BJ110">
        <v>0</v>
      </c>
      <c r="BK110">
        <v>3.5853453960806097E-5</v>
      </c>
      <c r="BL110">
        <v>1.02862955857911E-4</v>
      </c>
      <c r="BM110">
        <v>5.9423742480558498E-5</v>
      </c>
      <c r="BN110">
        <v>5.1788818115860802E-5</v>
      </c>
      <c r="BO110">
        <v>8.1769247297171005E-5</v>
      </c>
      <c r="BP110">
        <v>1.5193505940725499E-5</v>
      </c>
      <c r="BQ110">
        <v>3.95972476714331E-5</v>
      </c>
      <c r="BR110">
        <v>8.7587070326445093E-5</v>
      </c>
      <c r="BS110">
        <v>0</v>
      </c>
      <c r="BT110">
        <v>6.6152612495945496E-5</v>
      </c>
      <c r="BU110">
        <v>1.7053440096549499E-5</v>
      </c>
      <c r="BV110">
        <v>0</v>
      </c>
      <c r="BW110">
        <v>4.0526490828839999E-5</v>
      </c>
      <c r="BX110">
        <v>3.46707311240043E-5</v>
      </c>
      <c r="BY110">
        <v>0</v>
      </c>
      <c r="BZ110">
        <v>4.4170976455980701E-5</v>
      </c>
      <c r="CA110">
        <v>4.3557405191894099E-5</v>
      </c>
      <c r="CB110">
        <v>2.3705002202143701E-5</v>
      </c>
      <c r="CC110">
        <v>5.2316297408992397E-5</v>
      </c>
      <c r="CD110">
        <v>3.6142650656209603E-5</v>
      </c>
      <c r="CE110">
        <v>8.5440543046520805E-5</v>
      </c>
      <c r="CF110">
        <v>1.75880624904385E-4</v>
      </c>
      <c r="CG110">
        <v>1.2627401805728999E-4</v>
      </c>
      <c r="CH110">
        <v>1.02918393857558E-4</v>
      </c>
      <c r="CI110">
        <v>6.5923612814523504E-5</v>
      </c>
      <c r="CJ110">
        <f>MAX(E110:CI110)</f>
        <v>2.2702359677636099E-4</v>
      </c>
    </row>
    <row r="111" spans="1:88" x14ac:dyDescent="0.2">
      <c r="A111" t="s">
        <v>234</v>
      </c>
      <c r="B111" t="s">
        <v>234</v>
      </c>
      <c r="C111" t="s">
        <v>235</v>
      </c>
      <c r="D111" t="s">
        <v>235</v>
      </c>
      <c r="E111">
        <v>4.2604159312349801E-4</v>
      </c>
      <c r="F111">
        <v>7.4600373182140203E-5</v>
      </c>
      <c r="G111">
        <v>0</v>
      </c>
      <c r="H111">
        <v>6.3141515287496196E-5</v>
      </c>
      <c r="I111">
        <v>3.6429566222392201E-4</v>
      </c>
      <c r="J111">
        <v>1.5039139923210001E-4</v>
      </c>
      <c r="K111">
        <v>9.7738574358364497E-6</v>
      </c>
      <c r="L111">
        <v>7.45498888020987E-5</v>
      </c>
      <c r="M111">
        <v>0</v>
      </c>
      <c r="N111">
        <v>4.2481417534273197E-5</v>
      </c>
      <c r="O111">
        <v>0</v>
      </c>
      <c r="P111">
        <v>7.8032586058626599E-4</v>
      </c>
      <c r="Q111">
        <v>6.47179869344318E-5</v>
      </c>
      <c r="R111">
        <v>8.6048836017027497E-5</v>
      </c>
      <c r="S111">
        <v>7.34701624305961E-5</v>
      </c>
      <c r="T111">
        <v>3.1041450020805298E-5</v>
      </c>
      <c r="U111">
        <v>1.5827233151017E-4</v>
      </c>
      <c r="V111">
        <v>1.94661022377633E-4</v>
      </c>
      <c r="W111">
        <v>9.7828185864340899E-5</v>
      </c>
      <c r="X111">
        <v>2.6283730166734701E-5</v>
      </c>
      <c r="Y111">
        <v>6.3087018052286202E-5</v>
      </c>
      <c r="Z111">
        <v>5.6391026469915402E-4</v>
      </c>
      <c r="AA111">
        <v>6.5011921157500597E-5</v>
      </c>
      <c r="AB111">
        <v>1.21192292287552E-3</v>
      </c>
      <c r="AC111">
        <v>0</v>
      </c>
      <c r="AD111">
        <v>0</v>
      </c>
      <c r="AE111">
        <v>0</v>
      </c>
      <c r="AF111">
        <v>0</v>
      </c>
      <c r="AG111">
        <v>4.1683194993924599E-5</v>
      </c>
      <c r="AH111">
        <v>2.9202027122839201E-5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2.7565761861761298E-3</v>
      </c>
      <c r="AP111">
        <v>1.09830509934168E-4</v>
      </c>
      <c r="AQ111">
        <v>0</v>
      </c>
      <c r="AR111">
        <v>8.6555565872750907E-5</v>
      </c>
      <c r="AS111">
        <v>0</v>
      </c>
      <c r="AT111">
        <v>5.6924470554282902E-4</v>
      </c>
      <c r="AU111">
        <v>1.1517626741887599E-4</v>
      </c>
      <c r="AV111">
        <v>3.5886160898955199E-5</v>
      </c>
      <c r="AW111">
        <v>0</v>
      </c>
      <c r="AX111">
        <v>1.2537357215595699E-4</v>
      </c>
      <c r="AY111">
        <v>2.9300160545018498E-4</v>
      </c>
      <c r="AZ111">
        <v>4.0579435380918098E-5</v>
      </c>
      <c r="BA111">
        <v>0</v>
      </c>
      <c r="BB111">
        <v>9.8782269555424304E-5</v>
      </c>
      <c r="BC111">
        <v>2.5543358574865998E-4</v>
      </c>
      <c r="BD111">
        <v>0</v>
      </c>
      <c r="BE111">
        <v>5.9101975835054698E-5</v>
      </c>
      <c r="BF111">
        <v>1.0444748811977E-4</v>
      </c>
      <c r="BG111">
        <v>6.5637344134439893E-5</v>
      </c>
      <c r="BH111">
        <v>6.5494676295478095E-5</v>
      </c>
      <c r="BI111">
        <v>6.2619414126888602E-5</v>
      </c>
      <c r="BJ111">
        <v>1.6694983724179299E-4</v>
      </c>
      <c r="BK111">
        <v>2.6887721431201601E-5</v>
      </c>
      <c r="BL111">
        <v>0</v>
      </c>
      <c r="BM111">
        <v>2.7762143837643801E-5</v>
      </c>
      <c r="BN111">
        <v>0</v>
      </c>
      <c r="BO111">
        <v>0</v>
      </c>
      <c r="BP111">
        <v>4.6575014631335599E-5</v>
      </c>
      <c r="BQ111">
        <v>0</v>
      </c>
      <c r="BR111">
        <v>0</v>
      </c>
      <c r="BS111">
        <v>0</v>
      </c>
      <c r="BT111">
        <v>1.4547152780234899E-4</v>
      </c>
      <c r="BU111">
        <v>0</v>
      </c>
      <c r="BV111">
        <v>0</v>
      </c>
      <c r="BW111">
        <v>3.7711690418526399E-5</v>
      </c>
      <c r="BX111">
        <v>3.5511335056034403E-5</v>
      </c>
      <c r="BY111">
        <v>3.31223391703508E-5</v>
      </c>
      <c r="BZ111">
        <v>0</v>
      </c>
      <c r="CA111">
        <v>3.1001592258075702E-5</v>
      </c>
      <c r="CB111">
        <v>3.1933829338897003E-5</v>
      </c>
      <c r="CC111">
        <v>0</v>
      </c>
      <c r="CD111">
        <v>0</v>
      </c>
      <c r="CE111">
        <v>0</v>
      </c>
      <c r="CF111">
        <v>5.6887650831345603E-5</v>
      </c>
      <c r="CG111">
        <v>0</v>
      </c>
      <c r="CH111">
        <v>1.86406048403049E-4</v>
      </c>
      <c r="CI111">
        <v>1.07531820892244E-4</v>
      </c>
      <c r="CJ111">
        <f>MAX(E111:CI111)</f>
        <v>2.7565761861761298E-3</v>
      </c>
    </row>
    <row r="112" spans="1:88" x14ac:dyDescent="0.2">
      <c r="A112" t="s">
        <v>236</v>
      </c>
      <c r="B112" t="s">
        <v>236</v>
      </c>
      <c r="C112" t="s">
        <v>235</v>
      </c>
      <c r="D112" t="s">
        <v>235</v>
      </c>
      <c r="E112">
        <v>1.09297694213071E-4</v>
      </c>
      <c r="F112">
        <v>0</v>
      </c>
      <c r="G112">
        <v>0</v>
      </c>
      <c r="H112">
        <v>2.1138783947650501E-3</v>
      </c>
      <c r="I112">
        <v>1.8445736483567001E-3</v>
      </c>
      <c r="J112">
        <v>2.7458259177768702E-4</v>
      </c>
      <c r="K112">
        <v>1.24464070459364E-4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9.5564369758469904E-4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1.71282502683811E-4</v>
      </c>
      <c r="AD112">
        <v>1.9085036725389199E-4</v>
      </c>
      <c r="AE112">
        <v>6.2624460858777401E-4</v>
      </c>
      <c r="AF112">
        <v>2.3127836048904101E-4</v>
      </c>
      <c r="AG112">
        <v>0</v>
      </c>
      <c r="AH112">
        <v>5.6704039708863603E-5</v>
      </c>
      <c r="AI112">
        <v>0</v>
      </c>
      <c r="AJ112">
        <v>7.2418078948265497E-5</v>
      </c>
      <c r="AK112">
        <v>0</v>
      </c>
      <c r="AL112">
        <v>5.2007143411187099E-5</v>
      </c>
      <c r="AM112">
        <v>2.1144382181428499E-4</v>
      </c>
      <c r="AN112">
        <v>4.3770045694235501E-5</v>
      </c>
      <c r="AO112">
        <v>0</v>
      </c>
      <c r="AP112">
        <v>2.2414910029273301E-5</v>
      </c>
      <c r="AQ112">
        <v>0</v>
      </c>
      <c r="AR112">
        <v>7.7103128475936605E-5</v>
      </c>
      <c r="AS112">
        <v>0</v>
      </c>
      <c r="AT112">
        <v>0</v>
      </c>
      <c r="AU112">
        <v>9.5803196571666704E-5</v>
      </c>
      <c r="AV112">
        <v>0</v>
      </c>
      <c r="AW112">
        <v>5.0294211062458895E-4</v>
      </c>
      <c r="AX112">
        <v>2.53158783442324E-4</v>
      </c>
      <c r="AY112">
        <v>0</v>
      </c>
      <c r="AZ112">
        <v>1.5742293313657501E-4</v>
      </c>
      <c r="BA112">
        <v>2.7257561459962602E-4</v>
      </c>
      <c r="BB112">
        <v>0</v>
      </c>
      <c r="BC112">
        <v>0</v>
      </c>
      <c r="BD112">
        <v>3.3069452137121001E-4</v>
      </c>
      <c r="BE112">
        <v>0</v>
      </c>
      <c r="BF112">
        <v>0</v>
      </c>
      <c r="BG112">
        <v>0</v>
      </c>
      <c r="BH112">
        <v>8.1616694173026105E-4</v>
      </c>
      <c r="BI112">
        <v>2.4814641198541999E-4</v>
      </c>
      <c r="BJ112">
        <v>0</v>
      </c>
      <c r="BK112">
        <v>1.24107777952517E-4</v>
      </c>
      <c r="BL112">
        <v>0</v>
      </c>
      <c r="BM112">
        <v>0</v>
      </c>
      <c r="BN112">
        <v>0</v>
      </c>
      <c r="BO112">
        <v>1.3275075507787501E-4</v>
      </c>
      <c r="BP112">
        <v>0</v>
      </c>
      <c r="BQ112">
        <v>0</v>
      </c>
      <c r="BR112">
        <v>2.9384073387463502E-4</v>
      </c>
      <c r="BS112">
        <v>0</v>
      </c>
      <c r="BT112">
        <v>6.2095624618547403E-5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2.5997285285132702E-4</v>
      </c>
      <c r="CD112">
        <v>0</v>
      </c>
      <c r="CE112">
        <v>0</v>
      </c>
      <c r="CF112">
        <v>0</v>
      </c>
      <c r="CG112">
        <v>0</v>
      </c>
      <c r="CH112">
        <v>2.1243203037014301E-4</v>
      </c>
      <c r="CI112">
        <v>0</v>
      </c>
      <c r="CJ112">
        <f>MAX(E112:CI112)</f>
        <v>2.1138783947650501E-3</v>
      </c>
    </row>
    <row r="113" spans="1:88" x14ac:dyDescent="0.2">
      <c r="A113" t="s">
        <v>237</v>
      </c>
      <c r="B113" t="s">
        <v>238</v>
      </c>
      <c r="C113" t="s">
        <v>116</v>
      </c>
      <c r="D113" t="s">
        <v>89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9.8721103218075802E-6</v>
      </c>
      <c r="K113">
        <v>2.0012207624811201E-5</v>
      </c>
      <c r="L113">
        <v>0</v>
      </c>
      <c r="M113">
        <v>0</v>
      </c>
      <c r="N113">
        <v>0</v>
      </c>
      <c r="O113">
        <v>0</v>
      </c>
      <c r="P113">
        <v>1.04163844368684E-5</v>
      </c>
      <c r="Q113">
        <v>0</v>
      </c>
      <c r="R113">
        <v>0</v>
      </c>
      <c r="S113">
        <v>0</v>
      </c>
      <c r="T113">
        <v>0</v>
      </c>
      <c r="U113">
        <v>1.2407549028790099E-5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1.03941744140219E-5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3.8593751841666298E-5</v>
      </c>
      <c r="AT113">
        <v>0</v>
      </c>
      <c r="AU113">
        <v>0</v>
      </c>
      <c r="AV113">
        <v>3.4207788627603203E-5</v>
      </c>
      <c r="AW113">
        <v>1.00967359794794E-5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1.0572312702708501E-5</v>
      </c>
      <c r="BF113">
        <v>0</v>
      </c>
      <c r="BG113">
        <v>0</v>
      </c>
      <c r="BH113">
        <v>0</v>
      </c>
      <c r="BI113">
        <v>1.4687233519968199E-5</v>
      </c>
      <c r="BJ113">
        <v>1.9196939668291098E-5</v>
      </c>
      <c r="BK113">
        <v>0</v>
      </c>
      <c r="BL113">
        <v>0</v>
      </c>
      <c r="BM113">
        <v>0</v>
      </c>
      <c r="BN113">
        <v>1.44720148670106E-5</v>
      </c>
      <c r="BO113">
        <v>0</v>
      </c>
      <c r="BP113">
        <v>6.6022201238913899E-6</v>
      </c>
      <c r="BQ113">
        <v>0</v>
      </c>
      <c r="BR113">
        <v>1.03060204526937E-5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8.7914599097489099E-6</v>
      </c>
      <c r="BZ113">
        <v>3.1156811011792199E-5</v>
      </c>
      <c r="CA113">
        <v>0</v>
      </c>
      <c r="CB113">
        <v>1.41117865873878E-5</v>
      </c>
      <c r="CC113">
        <v>0</v>
      </c>
      <c r="CD113">
        <v>0</v>
      </c>
      <c r="CE113">
        <v>0</v>
      </c>
      <c r="CF113">
        <v>2.0217292759387299E-5</v>
      </c>
      <c r="CG113">
        <v>0</v>
      </c>
      <c r="CH113">
        <v>0</v>
      </c>
      <c r="CI113">
        <v>0</v>
      </c>
      <c r="CJ113">
        <f>MAX(E113:CI113)</f>
        <v>3.8593751841666298E-5</v>
      </c>
    </row>
    <row r="114" spans="1:88" x14ac:dyDescent="0.2">
      <c r="A114" t="s">
        <v>239</v>
      </c>
      <c r="B114" t="s">
        <v>239</v>
      </c>
      <c r="C114" t="s">
        <v>187</v>
      </c>
      <c r="D114" t="s">
        <v>89</v>
      </c>
      <c r="E114">
        <v>0</v>
      </c>
      <c r="F114">
        <v>1.5672345601001002E-5</v>
      </c>
      <c r="G114">
        <v>9.54295772674668E-6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2.1452059852515201E-5</v>
      </c>
      <c r="P114">
        <v>6.0742267495158398E-5</v>
      </c>
      <c r="Q114">
        <v>4.6027776966791501E-5</v>
      </c>
      <c r="R114">
        <v>9.2168814178735701E-6</v>
      </c>
      <c r="S114">
        <v>1.61725312873998E-5</v>
      </c>
      <c r="T114">
        <v>0</v>
      </c>
      <c r="U114">
        <v>9.7120743846579006E-6</v>
      </c>
      <c r="V114">
        <v>1.6132140657409399E-5</v>
      </c>
      <c r="W114">
        <v>0</v>
      </c>
      <c r="X114">
        <v>0</v>
      </c>
      <c r="Y114">
        <v>0</v>
      </c>
      <c r="Z114">
        <v>9.2286675200391797E-6</v>
      </c>
      <c r="AA114">
        <v>0</v>
      </c>
      <c r="AB114">
        <v>0</v>
      </c>
      <c r="AC114">
        <v>0</v>
      </c>
      <c r="AD114">
        <v>0</v>
      </c>
      <c r="AE114">
        <v>1.18155515687735E-4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5.07760601760423E-5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9.2537550628820892E-6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1.48246346816736E-5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f>MAX(E114:CI114)</f>
        <v>1.18155515687735E-4</v>
      </c>
    </row>
    <row r="115" spans="1:88" x14ac:dyDescent="0.2">
      <c r="A115" t="s">
        <v>240</v>
      </c>
      <c r="B115" t="s">
        <v>240</v>
      </c>
      <c r="C115" t="s">
        <v>187</v>
      </c>
      <c r="D115" t="s">
        <v>89</v>
      </c>
      <c r="E115">
        <v>5.9493565864015199E-5</v>
      </c>
      <c r="F115">
        <v>0</v>
      </c>
      <c r="G115">
        <v>2.27645987597195E-5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1.2837516062449899E-4</v>
      </c>
      <c r="X115">
        <v>0</v>
      </c>
      <c r="Y115">
        <v>0</v>
      </c>
      <c r="Z115">
        <v>0</v>
      </c>
      <c r="AA115">
        <v>0</v>
      </c>
      <c r="AB115">
        <v>6.2057031892211805E-5</v>
      </c>
      <c r="AC115">
        <v>3.4665223132269498E-5</v>
      </c>
      <c r="AD115">
        <v>1.44764141775749E-5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4.39588173674168E-5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2.1108044447212099E-4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f>MAX(E115:CI115)</f>
        <v>2.1108044447212099E-4</v>
      </c>
    </row>
    <row r="116" spans="1:88" x14ac:dyDescent="0.2">
      <c r="A116" t="s">
        <v>242</v>
      </c>
      <c r="B116" t="s">
        <v>242</v>
      </c>
      <c r="C116" t="s">
        <v>187</v>
      </c>
      <c r="D116" t="s">
        <v>89</v>
      </c>
      <c r="E116">
        <v>0</v>
      </c>
      <c r="F116">
        <v>4.46682563625167E-4</v>
      </c>
      <c r="G116">
        <v>5.5936205223797501E-6</v>
      </c>
      <c r="H116">
        <v>7.6799607413882898E-5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5.0154510947662897E-5</v>
      </c>
      <c r="Q116">
        <v>2.2847253478844101E-4</v>
      </c>
      <c r="R116">
        <v>0</v>
      </c>
      <c r="S116">
        <v>0</v>
      </c>
      <c r="T116">
        <v>0</v>
      </c>
      <c r="U116">
        <v>1.90767768681466E-5</v>
      </c>
      <c r="V116">
        <v>1.22227519999253E-4</v>
      </c>
      <c r="W116">
        <v>4.8344380564735499E-4</v>
      </c>
      <c r="X116">
        <v>0</v>
      </c>
      <c r="Y116">
        <v>0</v>
      </c>
      <c r="Z116">
        <v>0</v>
      </c>
      <c r="AA116">
        <v>0</v>
      </c>
      <c r="AB116">
        <v>6.8039325557394306E-5</v>
      </c>
      <c r="AC116">
        <v>0</v>
      </c>
      <c r="AD116">
        <v>0</v>
      </c>
      <c r="AE116">
        <v>2.02919601142646E-4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2.22009725577116E-4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5.9847635956476999E-5</v>
      </c>
      <c r="BD116">
        <v>1.1523383088373199E-5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3.3105412222045502E-5</v>
      </c>
      <c r="CH116">
        <v>0</v>
      </c>
      <c r="CI116">
        <v>0</v>
      </c>
      <c r="CJ116">
        <f>MAX(E116:CI116)</f>
        <v>4.8344380564735499E-4</v>
      </c>
    </row>
    <row r="117" spans="1:88" x14ac:dyDescent="0.2">
      <c r="A117" t="s">
        <v>243</v>
      </c>
      <c r="B117" t="s">
        <v>243</v>
      </c>
      <c r="C117" t="s">
        <v>118</v>
      </c>
      <c r="D117" t="s">
        <v>124</v>
      </c>
      <c r="E117">
        <v>0</v>
      </c>
      <c r="F117">
        <v>0</v>
      </c>
      <c r="G117">
        <v>0</v>
      </c>
      <c r="H117">
        <v>1.1168143870687399E-5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7.7646341913936605E-6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9.0250371857581594E-6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3.8243444387179703E-5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1.21335252990456E-5</v>
      </c>
      <c r="CI117">
        <v>0</v>
      </c>
      <c r="CJ117">
        <f>MAX(E117:CI117)</f>
        <v>3.8243444387179703E-5</v>
      </c>
    </row>
    <row r="118" spans="1:88" x14ac:dyDescent="0.2">
      <c r="A118" t="s">
        <v>244</v>
      </c>
      <c r="B118" t="s">
        <v>244</v>
      </c>
      <c r="C118" t="s">
        <v>147</v>
      </c>
      <c r="D118" t="s">
        <v>148</v>
      </c>
      <c r="E118">
        <v>0</v>
      </c>
      <c r="F118">
        <v>2.5617220117874802E-4</v>
      </c>
      <c r="G118">
        <v>1.7687725919327701E-4</v>
      </c>
      <c r="H118">
        <v>5.5837247297652097E-5</v>
      </c>
      <c r="I118">
        <v>1.6109423543966502E-5</v>
      </c>
      <c r="J118">
        <v>9.6636902261694805E-6</v>
      </c>
      <c r="K118">
        <v>1.4649810264278699E-4</v>
      </c>
      <c r="L118">
        <v>0</v>
      </c>
      <c r="M118">
        <v>2.0136454262906599E-5</v>
      </c>
      <c r="N118">
        <v>1.4452534008700399E-5</v>
      </c>
      <c r="O118">
        <v>0</v>
      </c>
      <c r="P118">
        <v>0</v>
      </c>
      <c r="Q118">
        <v>1.9921590102022901E-5</v>
      </c>
      <c r="R118">
        <v>2.4172134382570899E-5</v>
      </c>
      <c r="S118">
        <v>2.51446155593773E-5</v>
      </c>
      <c r="T118">
        <v>0</v>
      </c>
      <c r="U118">
        <v>0</v>
      </c>
      <c r="V118">
        <v>9.4874609200944397E-5</v>
      </c>
      <c r="W118">
        <v>0</v>
      </c>
      <c r="X118">
        <v>0</v>
      </c>
      <c r="Y118">
        <v>0</v>
      </c>
      <c r="Z118">
        <v>1.1555081154634499E-4</v>
      </c>
      <c r="AA118">
        <v>0</v>
      </c>
      <c r="AB118">
        <v>0</v>
      </c>
      <c r="AC118">
        <v>2.4094560006016099E-4</v>
      </c>
      <c r="AD118">
        <v>0</v>
      </c>
      <c r="AE118">
        <v>9.4950006761576302E-5</v>
      </c>
      <c r="AF118">
        <v>2.90544728351634E-4</v>
      </c>
      <c r="AG118">
        <v>1.80713251476797E-4</v>
      </c>
      <c r="AH118">
        <v>4.1341097324105097E-5</v>
      </c>
      <c r="AI118">
        <v>8.4229844708627897E-5</v>
      </c>
      <c r="AJ118">
        <v>4.8589899410588797E-5</v>
      </c>
      <c r="AK118">
        <v>0</v>
      </c>
      <c r="AL118">
        <v>1.2007262356696199E-4</v>
      </c>
      <c r="AM118">
        <v>0</v>
      </c>
      <c r="AN118">
        <v>4.6704851977420103E-5</v>
      </c>
      <c r="AO118">
        <v>2.8785846155634099E-5</v>
      </c>
      <c r="AP118">
        <v>3.3220181430402003E-5</v>
      </c>
      <c r="AQ118">
        <v>0</v>
      </c>
      <c r="AR118">
        <v>5.5461294237594999E-5</v>
      </c>
      <c r="AS118">
        <v>1.34582626594978E-4</v>
      </c>
      <c r="AT118">
        <v>0</v>
      </c>
      <c r="AU118">
        <v>1.8671147076959201E-4</v>
      </c>
      <c r="AV118">
        <v>2.01401638765172E-4</v>
      </c>
      <c r="AW118">
        <v>2.5911765220795399E-4</v>
      </c>
      <c r="AX118">
        <v>1.8363015466100501E-4</v>
      </c>
      <c r="AY118">
        <v>0</v>
      </c>
      <c r="AZ118">
        <v>2.5758110384242598E-4</v>
      </c>
      <c r="BA118">
        <v>2.6799765874235999E-4</v>
      </c>
      <c r="BB118">
        <v>2.5775553498574302E-4</v>
      </c>
      <c r="BC118">
        <v>1.24557820389254E-4</v>
      </c>
      <c r="BD118">
        <v>2.2709731524470599E-4</v>
      </c>
      <c r="BE118">
        <v>1.14596142819139E-4</v>
      </c>
      <c r="BF118">
        <v>6.3383614275001497E-5</v>
      </c>
      <c r="BG118">
        <v>3.0878699420085702E-5</v>
      </c>
      <c r="BH118">
        <v>2.5519196733603998E-4</v>
      </c>
      <c r="BI118">
        <v>1.2276059931989701E-4</v>
      </c>
      <c r="BJ118">
        <v>1.02243097933735E-4</v>
      </c>
      <c r="BK118">
        <v>0</v>
      </c>
      <c r="BL118">
        <v>1.14133201594734E-4</v>
      </c>
      <c r="BM118">
        <v>0</v>
      </c>
      <c r="BN118">
        <v>0</v>
      </c>
      <c r="BO118">
        <v>3.2395448729062001E-4</v>
      </c>
      <c r="BP118">
        <v>2.65733923603085E-4</v>
      </c>
      <c r="BQ118">
        <v>0</v>
      </c>
      <c r="BR118">
        <v>3.50368456550705E-4</v>
      </c>
      <c r="BS118">
        <v>1.66955603584472E-4</v>
      </c>
      <c r="BT118">
        <v>4.6933722370382598E-4</v>
      </c>
      <c r="BU118">
        <v>9.0304418415879304E-5</v>
      </c>
      <c r="BV118">
        <v>3.0037169134731801E-5</v>
      </c>
      <c r="BW118">
        <v>8.7575575509892605E-5</v>
      </c>
      <c r="BX118">
        <v>0</v>
      </c>
      <c r="BY118">
        <v>6.3905906550354905E-5</v>
      </c>
      <c r="BZ118">
        <v>1.28470081608347E-4</v>
      </c>
      <c r="CA118">
        <v>5.6220408903115198E-5</v>
      </c>
      <c r="CB118">
        <v>1.39661917362229E-4</v>
      </c>
      <c r="CC118">
        <v>0</v>
      </c>
      <c r="CD118">
        <v>7.2876750558981501E-5</v>
      </c>
      <c r="CE118">
        <v>1.3973911871954201E-4</v>
      </c>
      <c r="CF118">
        <v>0</v>
      </c>
      <c r="CG118">
        <v>2.4503436695152601E-4</v>
      </c>
      <c r="CH118">
        <v>9.59886756983831E-5</v>
      </c>
      <c r="CI118">
        <v>1.8647430620759401E-4</v>
      </c>
      <c r="CJ118">
        <f>MAX(E118:CI118)</f>
        <v>4.6933722370382598E-4</v>
      </c>
    </row>
    <row r="119" spans="1:88" x14ac:dyDescent="0.2">
      <c r="A119" t="s">
        <v>245</v>
      </c>
      <c r="B119" t="s">
        <v>245</v>
      </c>
      <c r="C119" t="s">
        <v>118</v>
      </c>
      <c r="D119" t="s">
        <v>119</v>
      </c>
      <c r="E119">
        <v>6.2209827915326601E-5</v>
      </c>
      <c r="F119">
        <v>7.4611195710649802E-5</v>
      </c>
      <c r="G119">
        <v>3.5060572228777298E-4</v>
      </c>
      <c r="H119">
        <v>1.45853884467158E-4</v>
      </c>
      <c r="I119">
        <v>0</v>
      </c>
      <c r="J119">
        <v>0</v>
      </c>
      <c r="K119">
        <v>0</v>
      </c>
      <c r="L119">
        <v>0</v>
      </c>
      <c r="M119">
        <v>2.4157611905395802E-5</v>
      </c>
      <c r="N119">
        <v>0</v>
      </c>
      <c r="O119">
        <v>3.0741850059251602E-5</v>
      </c>
      <c r="P119">
        <v>3.3583812766119198E-5</v>
      </c>
      <c r="Q119">
        <v>0</v>
      </c>
      <c r="R119">
        <v>5.1114957025378899E-5</v>
      </c>
      <c r="S119">
        <v>5.5927962767311399E-5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1.06057894232426E-4</v>
      </c>
      <c r="Z119">
        <v>0</v>
      </c>
      <c r="AA119">
        <v>3.1100186973385198E-4</v>
      </c>
      <c r="AB119">
        <v>0</v>
      </c>
      <c r="AC119">
        <v>2.7659479293958098E-4</v>
      </c>
      <c r="AD119">
        <v>1.0271384808752601E-4</v>
      </c>
      <c r="AE119">
        <v>3.3829610692280002E-4</v>
      </c>
      <c r="AF119">
        <v>2.8836131676091697E-4</v>
      </c>
      <c r="AG119">
        <v>1.7668919821768801E-4</v>
      </c>
      <c r="AH119">
        <v>6.53017770735553E-5</v>
      </c>
      <c r="AI119">
        <v>4.6373726891360801E-5</v>
      </c>
      <c r="AJ119">
        <v>0</v>
      </c>
      <c r="AK119">
        <v>1.0087440823212499E-4</v>
      </c>
      <c r="AL119">
        <v>1.01648037918683E-4</v>
      </c>
      <c r="AM119">
        <v>0</v>
      </c>
      <c r="AN119">
        <v>2.2180585192646299E-4</v>
      </c>
      <c r="AO119">
        <v>4.0763737850389697E-5</v>
      </c>
      <c r="AP119">
        <v>5.4210198808598603E-5</v>
      </c>
      <c r="AQ119">
        <v>0</v>
      </c>
      <c r="AR119">
        <v>8.2955464604950806E-5</v>
      </c>
      <c r="AS119">
        <v>1.2247938584799401E-4</v>
      </c>
      <c r="AT119">
        <v>1.21571003061076E-5</v>
      </c>
      <c r="AU119">
        <v>2.3423349577378501E-4</v>
      </c>
      <c r="AV119">
        <v>1.57352265461469E-4</v>
      </c>
      <c r="AW119">
        <v>3.9318324259927299E-4</v>
      </c>
      <c r="AX119">
        <v>2.86004587995378E-4</v>
      </c>
      <c r="AY119">
        <v>0</v>
      </c>
      <c r="AZ119">
        <v>2.8350844502838098E-4</v>
      </c>
      <c r="BA119">
        <v>6.42199554564571E-4</v>
      </c>
      <c r="BB119">
        <v>2.3432736018059099E-4</v>
      </c>
      <c r="BC119">
        <v>7.7594689569372106E-5</v>
      </c>
      <c r="BD119">
        <v>0</v>
      </c>
      <c r="BE119">
        <v>2.1603096220563901E-4</v>
      </c>
      <c r="BF119">
        <v>1.3365801285104601E-4</v>
      </c>
      <c r="BG119">
        <v>0</v>
      </c>
      <c r="BH119">
        <v>4.8271967451741501E-4</v>
      </c>
      <c r="BI119">
        <v>1.9318348659828099E-4</v>
      </c>
      <c r="BJ119">
        <v>1.9092816561675199E-4</v>
      </c>
      <c r="BK119">
        <v>1.78619553740859E-4</v>
      </c>
      <c r="BL119">
        <v>1.97018949911427E-4</v>
      </c>
      <c r="BM119">
        <v>0</v>
      </c>
      <c r="BN119">
        <v>2.4742751876806002E-4</v>
      </c>
      <c r="BO119">
        <v>1.22403264326569E-4</v>
      </c>
      <c r="BP119">
        <v>1.71164225778699E-4</v>
      </c>
      <c r="BQ119">
        <v>2.0588182058392E-4</v>
      </c>
      <c r="BR119">
        <v>5.1316851173076404E-4</v>
      </c>
      <c r="BS119">
        <v>2.3645581565496799E-4</v>
      </c>
      <c r="BT119">
        <v>0</v>
      </c>
      <c r="BU119">
        <v>1.22588011383991E-5</v>
      </c>
      <c r="BV119">
        <v>2.5094121707057298E-5</v>
      </c>
      <c r="BW119">
        <v>0</v>
      </c>
      <c r="BX119">
        <v>1.4506010918029501E-4</v>
      </c>
      <c r="BY119">
        <v>0</v>
      </c>
      <c r="BZ119">
        <v>2.2315211121331E-4</v>
      </c>
      <c r="CA119">
        <v>0</v>
      </c>
      <c r="CB119">
        <v>1.4322505575997999E-4</v>
      </c>
      <c r="CC119">
        <v>2.1037009351321801E-4</v>
      </c>
      <c r="CD119">
        <v>6.8560188031147897E-5</v>
      </c>
      <c r="CE119">
        <v>1.4733536386955001E-4</v>
      </c>
      <c r="CF119">
        <v>0</v>
      </c>
      <c r="CG119">
        <v>2.9779678169574402E-4</v>
      </c>
      <c r="CH119">
        <v>2.7880656770406701E-4</v>
      </c>
      <c r="CI119">
        <v>1.04665607856654E-4</v>
      </c>
      <c r="CJ119">
        <f>MAX(E119:CI119)</f>
        <v>6.42199554564571E-4</v>
      </c>
    </row>
    <row r="120" spans="1:88" x14ac:dyDescent="0.2">
      <c r="A120" t="s">
        <v>246</v>
      </c>
      <c r="B120" t="s">
        <v>246</v>
      </c>
      <c r="C120" t="s">
        <v>118</v>
      </c>
      <c r="D120" t="s">
        <v>119</v>
      </c>
      <c r="E120">
        <v>0</v>
      </c>
      <c r="F120">
        <v>3.7229996895169698E-5</v>
      </c>
      <c r="G120">
        <v>2.5546711293009599E-4</v>
      </c>
      <c r="H120">
        <v>4.2377077241540899E-5</v>
      </c>
      <c r="I120">
        <v>0</v>
      </c>
      <c r="J120">
        <v>1.8136145862213299E-5</v>
      </c>
      <c r="K120">
        <v>1.01688771344749E-4</v>
      </c>
      <c r="L120">
        <v>2.5108686832708401E-5</v>
      </c>
      <c r="M120">
        <v>0</v>
      </c>
      <c r="N120">
        <v>0</v>
      </c>
      <c r="O120">
        <v>0</v>
      </c>
      <c r="P120">
        <v>1.5351435774695601E-5</v>
      </c>
      <c r="Q120">
        <v>0</v>
      </c>
      <c r="R120">
        <v>2.3487240780688401E-5</v>
      </c>
      <c r="S120">
        <v>0</v>
      </c>
      <c r="T120">
        <v>8.6700579444741006E-6</v>
      </c>
      <c r="U120">
        <v>7.0086762630348405E-5</v>
      </c>
      <c r="V120">
        <v>2.0601175412029701E-5</v>
      </c>
      <c r="W120">
        <v>9.36539286212423E-6</v>
      </c>
      <c r="X120">
        <v>2.3691578639260599E-5</v>
      </c>
      <c r="Y120">
        <v>5.3928954392106499E-5</v>
      </c>
      <c r="Z120">
        <v>1.33817835223209E-4</v>
      </c>
      <c r="AA120">
        <v>6.1543047794989405E-5</v>
      </c>
      <c r="AB120">
        <v>1.1202759173147101E-5</v>
      </c>
      <c r="AC120">
        <v>1.7929575196848899E-4</v>
      </c>
      <c r="AD120">
        <v>1.7722582226450601E-4</v>
      </c>
      <c r="AE120">
        <v>1.5331265336731401E-4</v>
      </c>
      <c r="AF120">
        <v>2.9974296572348E-4</v>
      </c>
      <c r="AG120">
        <v>4.4590362193342103E-5</v>
      </c>
      <c r="AH120">
        <v>3.82780671526488E-5</v>
      </c>
      <c r="AI120">
        <v>7.7372565976895698E-5</v>
      </c>
      <c r="AJ120">
        <v>3.1907810197408699E-5</v>
      </c>
      <c r="AK120">
        <v>4.5687879318690599E-5</v>
      </c>
      <c r="AL120">
        <v>4.4290440533203901E-5</v>
      </c>
      <c r="AM120">
        <v>4.9761103192411301E-5</v>
      </c>
      <c r="AN120">
        <v>2.0630464199271101E-4</v>
      </c>
      <c r="AO120">
        <v>2.4545676153480898E-5</v>
      </c>
      <c r="AP120">
        <v>2.0769211073267199E-5</v>
      </c>
      <c r="AQ120">
        <v>0</v>
      </c>
      <c r="AR120">
        <v>1.89488561999033E-5</v>
      </c>
      <c r="AS120">
        <v>0</v>
      </c>
      <c r="AT120">
        <v>1.2359986602405401E-5</v>
      </c>
      <c r="AU120">
        <v>0</v>
      </c>
      <c r="AV120">
        <v>9.9679534229274498E-5</v>
      </c>
      <c r="AW120">
        <v>2.9258496138455999E-4</v>
      </c>
      <c r="AX120">
        <v>1.15578751809284E-4</v>
      </c>
      <c r="AY120">
        <v>2.1244230261784899E-4</v>
      </c>
      <c r="AZ120">
        <v>1.4234329015900001E-4</v>
      </c>
      <c r="BA120">
        <v>4.02632659753658E-4</v>
      </c>
      <c r="BB120">
        <v>1.7644648045847601E-4</v>
      </c>
      <c r="BC120">
        <v>1.97824920559471E-4</v>
      </c>
      <c r="BD120">
        <v>2.8745641169643498E-4</v>
      </c>
      <c r="BE120">
        <v>1.55602295655333E-4</v>
      </c>
      <c r="BF120">
        <v>0</v>
      </c>
      <c r="BG120">
        <v>8.5162617274538808E-6</v>
      </c>
      <c r="BH120">
        <v>0</v>
      </c>
      <c r="BI120">
        <v>1.4384474477557499E-4</v>
      </c>
      <c r="BJ120">
        <v>2.22071077606975E-4</v>
      </c>
      <c r="BK120">
        <v>1.6206155436615901E-4</v>
      </c>
      <c r="BL120">
        <v>2.07766249419466E-4</v>
      </c>
      <c r="BM120">
        <v>9.7712696875461703E-5</v>
      </c>
      <c r="BN120">
        <v>1.20291793477555E-4</v>
      </c>
      <c r="BO120">
        <v>0</v>
      </c>
      <c r="BP120">
        <v>0</v>
      </c>
      <c r="BQ120">
        <v>2.2223374249493401E-4</v>
      </c>
      <c r="BR120">
        <v>3.1659642025419699E-4</v>
      </c>
      <c r="BS120">
        <v>0</v>
      </c>
      <c r="BT120">
        <v>0</v>
      </c>
      <c r="BU120">
        <v>5.0092187786078402E-5</v>
      </c>
      <c r="BV120">
        <v>2.94516072271221E-5</v>
      </c>
      <c r="BW120">
        <v>0</v>
      </c>
      <c r="BX120">
        <v>1.2666015057916099E-4</v>
      </c>
      <c r="BY120">
        <v>0</v>
      </c>
      <c r="BZ120">
        <v>0</v>
      </c>
      <c r="CA120">
        <v>1.48165127814266E-4</v>
      </c>
      <c r="CB120">
        <v>4.0060189560766799E-4</v>
      </c>
      <c r="CC120">
        <v>3.1408919755536701E-4</v>
      </c>
      <c r="CD120">
        <v>8.4589021265763496E-5</v>
      </c>
      <c r="CE120">
        <v>1.99176914352646E-4</v>
      </c>
      <c r="CF120">
        <v>2.4453216896297799E-4</v>
      </c>
      <c r="CG120">
        <v>2.22794774223355E-4</v>
      </c>
      <c r="CH120">
        <v>8.0392030873091097E-5</v>
      </c>
      <c r="CI120">
        <v>3.9344225450642003E-5</v>
      </c>
      <c r="CJ120">
        <f>MAX(E120:CI120)</f>
        <v>4.02632659753658E-4</v>
      </c>
    </row>
    <row r="121" spans="1:88" x14ac:dyDescent="0.2">
      <c r="A121" t="s">
        <v>247</v>
      </c>
      <c r="B121" t="s">
        <v>247</v>
      </c>
      <c r="C121" t="s">
        <v>118</v>
      </c>
      <c r="D121" t="s">
        <v>119</v>
      </c>
      <c r="E121">
        <v>2.3769661661293901E-3</v>
      </c>
      <c r="F121">
        <v>0</v>
      </c>
      <c r="G121">
        <v>8.3370997944491893E-3</v>
      </c>
      <c r="H121">
        <v>4.0755103463257104E-3</v>
      </c>
      <c r="I121">
        <v>0</v>
      </c>
      <c r="J121">
        <v>9.6335199256868099E-4</v>
      </c>
      <c r="K121">
        <v>6.29617803601582E-3</v>
      </c>
      <c r="L121">
        <v>1.9055747959995401E-3</v>
      </c>
      <c r="M121">
        <v>0</v>
      </c>
      <c r="N121">
        <v>8.2668679400427995E-4</v>
      </c>
      <c r="O121">
        <v>0</v>
      </c>
      <c r="P121">
        <v>1.52437915003047E-3</v>
      </c>
      <c r="Q121">
        <v>1.1067180675247399E-3</v>
      </c>
      <c r="R121">
        <v>2.3222554993080598E-3</v>
      </c>
      <c r="S121">
        <v>1.14615670668172E-3</v>
      </c>
      <c r="T121">
        <v>1.26639737020122E-3</v>
      </c>
      <c r="U121">
        <v>4.3056428245770899E-3</v>
      </c>
      <c r="V121">
        <v>1.6532213301919401E-3</v>
      </c>
      <c r="W121">
        <v>4.1339479102071898E-3</v>
      </c>
      <c r="X121">
        <v>0</v>
      </c>
      <c r="Y121">
        <v>3.81324755088023E-3</v>
      </c>
      <c r="Z121">
        <v>2.3043264241675299E-3</v>
      </c>
      <c r="AA121">
        <v>5.8006411610927898E-3</v>
      </c>
      <c r="AB121">
        <v>6.5186700607981101E-4</v>
      </c>
      <c r="AC121">
        <v>7.8520128199605806E-3</v>
      </c>
      <c r="AD121">
        <v>3.1304948956951999E-4</v>
      </c>
      <c r="AE121">
        <v>7.7052192328570497E-3</v>
      </c>
      <c r="AF121">
        <v>0</v>
      </c>
      <c r="AG121">
        <v>4.02840382813762E-3</v>
      </c>
      <c r="AH121">
        <v>1.33812905282781E-3</v>
      </c>
      <c r="AI121">
        <v>2.6318310114126701E-3</v>
      </c>
      <c r="AJ121">
        <v>2.08586885731964E-3</v>
      </c>
      <c r="AK121">
        <v>3.14105831989235E-3</v>
      </c>
      <c r="AL121">
        <v>2.2178848789333101E-3</v>
      </c>
      <c r="AM121">
        <v>3.7867880679565099E-3</v>
      </c>
      <c r="AN121">
        <v>2.4284155212012299E-3</v>
      </c>
      <c r="AO121">
        <v>9.5082370370098198E-4</v>
      </c>
      <c r="AP121">
        <v>1.39768723886653E-3</v>
      </c>
      <c r="AQ121">
        <v>2.5691945968552201E-3</v>
      </c>
      <c r="AR121">
        <v>0</v>
      </c>
      <c r="AS121">
        <v>4.7735008034605498E-3</v>
      </c>
      <c r="AT121">
        <v>0</v>
      </c>
      <c r="AU121">
        <v>4.62992546957433E-3</v>
      </c>
      <c r="AV121">
        <v>4.7923331344969103E-3</v>
      </c>
      <c r="AW121">
        <v>9.0413857754399699E-3</v>
      </c>
      <c r="AX121">
        <v>5.6996737852196598E-3</v>
      </c>
      <c r="AY121">
        <v>5.0311469221196699E-3</v>
      </c>
      <c r="AZ121">
        <v>7.5851818991363399E-3</v>
      </c>
      <c r="BA121">
        <v>1.0478231758893E-2</v>
      </c>
      <c r="BB121">
        <v>5.9015215862397302E-3</v>
      </c>
      <c r="BC121">
        <v>0</v>
      </c>
      <c r="BD121">
        <v>0</v>
      </c>
      <c r="BE121">
        <v>4.4063805339496203E-3</v>
      </c>
      <c r="BF121">
        <v>4.1230537832446E-3</v>
      </c>
      <c r="BG121">
        <v>0</v>
      </c>
      <c r="BH121">
        <v>9.0448839701050797E-3</v>
      </c>
      <c r="BI121">
        <v>5.3647810249192497E-3</v>
      </c>
      <c r="BJ121">
        <v>0</v>
      </c>
      <c r="BK121">
        <v>3.7739922152940698E-3</v>
      </c>
      <c r="BL121">
        <v>4.4705195661525303E-3</v>
      </c>
      <c r="BM121">
        <v>4.0087779413707E-3</v>
      </c>
      <c r="BN121">
        <v>3.5378221769878301E-3</v>
      </c>
      <c r="BO121">
        <v>4.8772610348932002E-3</v>
      </c>
      <c r="BP121">
        <v>3.3410809642316699E-3</v>
      </c>
      <c r="BQ121">
        <v>3.8452802734841801E-3</v>
      </c>
      <c r="BR121">
        <v>1.1688209841524499E-2</v>
      </c>
      <c r="BS121">
        <v>5.3168205190761101E-3</v>
      </c>
      <c r="BT121">
        <v>3.2944885310730201E-3</v>
      </c>
      <c r="BU121">
        <v>1.9358646971041099E-3</v>
      </c>
      <c r="BV121">
        <v>9.4387394967130299E-4</v>
      </c>
      <c r="BW121">
        <v>4.3091538499078199E-3</v>
      </c>
      <c r="BX121">
        <v>3.3705905590426201E-3</v>
      </c>
      <c r="BY121">
        <v>8.2721614104804995E-6</v>
      </c>
      <c r="BZ121">
        <v>3.4363469039651699E-3</v>
      </c>
      <c r="CA121">
        <v>5.0659161831130197E-3</v>
      </c>
      <c r="CB121">
        <v>3.7577856185810701E-3</v>
      </c>
      <c r="CC121">
        <v>6.4089074492222498E-3</v>
      </c>
      <c r="CD121">
        <v>0</v>
      </c>
      <c r="CE121">
        <v>4.47734953557361E-3</v>
      </c>
      <c r="CF121">
        <v>9.0640230233546698E-3</v>
      </c>
      <c r="CG121">
        <v>8.5683658180424008E-3</v>
      </c>
      <c r="CH121">
        <v>4.1543300781061096E-3</v>
      </c>
      <c r="CI121">
        <v>4.0533863439172696E-3</v>
      </c>
      <c r="CJ121">
        <f>MAX(E121:CI121)</f>
        <v>1.1688209841524499E-2</v>
      </c>
    </row>
    <row r="122" spans="1:88" x14ac:dyDescent="0.2">
      <c r="A122" t="s">
        <v>248</v>
      </c>
      <c r="B122" t="s">
        <v>248</v>
      </c>
      <c r="C122" t="s">
        <v>249</v>
      </c>
      <c r="D122" t="s">
        <v>119</v>
      </c>
      <c r="E122">
        <v>1.31686119453454E-5</v>
      </c>
      <c r="F122">
        <v>2.7797644724415699E-5</v>
      </c>
      <c r="G122">
        <v>2.4835734014724202E-4</v>
      </c>
      <c r="H122">
        <v>1.24551797630279E-4</v>
      </c>
      <c r="I122">
        <v>1.24259900065148E-5</v>
      </c>
      <c r="J122">
        <v>1.5634392115475499E-5</v>
      </c>
      <c r="K122">
        <v>1.8661734223271101E-4</v>
      </c>
      <c r="L122">
        <v>2.9978092822990901E-5</v>
      </c>
      <c r="M122">
        <v>2.3118145885962E-5</v>
      </c>
      <c r="N122">
        <v>0</v>
      </c>
      <c r="O122">
        <v>0</v>
      </c>
      <c r="P122">
        <v>2.4421874773081201E-5</v>
      </c>
      <c r="Q122">
        <v>0</v>
      </c>
      <c r="R122">
        <v>1.9009557168280799E-5</v>
      </c>
      <c r="S122">
        <v>8.8985654689364393E-6</v>
      </c>
      <c r="T122">
        <v>2.89165848532655E-5</v>
      </c>
      <c r="U122">
        <v>3.93523797039581E-5</v>
      </c>
      <c r="V122">
        <v>3.8630025960195E-5</v>
      </c>
      <c r="W122">
        <v>0</v>
      </c>
      <c r="X122">
        <v>0</v>
      </c>
      <c r="Y122">
        <v>4.8425710345190097E-5</v>
      </c>
      <c r="Z122">
        <v>1.24842943572993E-4</v>
      </c>
      <c r="AA122">
        <v>1.62607659940284E-4</v>
      </c>
      <c r="AB122">
        <v>0</v>
      </c>
      <c r="AC122">
        <v>2.46072453799934E-4</v>
      </c>
      <c r="AD122">
        <v>1.7888008805873201E-4</v>
      </c>
      <c r="AE122">
        <v>0</v>
      </c>
      <c r="AF122">
        <v>0</v>
      </c>
      <c r="AG122">
        <v>9.2676793641410706E-5</v>
      </c>
      <c r="AH122">
        <v>4.6881338214526502E-5</v>
      </c>
      <c r="AI122">
        <v>0</v>
      </c>
      <c r="AJ122">
        <v>8.2513118282121403E-5</v>
      </c>
      <c r="AK122">
        <v>5.9438932354462802E-5</v>
      </c>
      <c r="AL122">
        <v>9.1253808732581597E-5</v>
      </c>
      <c r="AM122">
        <v>5.0411892327906297E-5</v>
      </c>
      <c r="AN122">
        <v>8.0408137012061398E-5</v>
      </c>
      <c r="AO122">
        <v>0</v>
      </c>
      <c r="AP122">
        <v>2.0237692836901101E-5</v>
      </c>
      <c r="AQ122">
        <v>0</v>
      </c>
      <c r="AR122">
        <v>3.8655651745567598E-5</v>
      </c>
      <c r="AS122">
        <v>0</v>
      </c>
      <c r="AT122">
        <v>0</v>
      </c>
      <c r="AU122">
        <v>1.7018567440568399E-4</v>
      </c>
      <c r="AV122">
        <v>1.8747786537730499E-4</v>
      </c>
      <c r="AW122">
        <v>0</v>
      </c>
      <c r="AX122">
        <v>2.37033101962065E-4</v>
      </c>
      <c r="AY122">
        <v>3.7495487113169498E-4</v>
      </c>
      <c r="AZ122">
        <v>2.59884872128538E-4</v>
      </c>
      <c r="BA122">
        <v>6.3035906112432699E-4</v>
      </c>
      <c r="BB122">
        <v>7.0046429056685598E-4</v>
      </c>
      <c r="BC122">
        <v>4.12904865070986E-4</v>
      </c>
      <c r="BD122">
        <v>3.50136188655495E-4</v>
      </c>
      <c r="BE122">
        <v>1.47129920396575E-4</v>
      </c>
      <c r="BF122">
        <v>0</v>
      </c>
      <c r="BG122">
        <v>0</v>
      </c>
      <c r="BH122">
        <v>0</v>
      </c>
      <c r="BI122">
        <v>1.5661162650779001E-4</v>
      </c>
      <c r="BJ122">
        <v>1.94076968564374E-4</v>
      </c>
      <c r="BK122">
        <v>9.4620665877528896E-5</v>
      </c>
      <c r="BL122">
        <v>2.3162530276082499E-4</v>
      </c>
      <c r="BM122">
        <v>1.0431193459242E-4</v>
      </c>
      <c r="BN122">
        <v>1.6044640845947801E-4</v>
      </c>
      <c r="BO122">
        <v>3.2319676120108701E-4</v>
      </c>
      <c r="BP122">
        <v>2.29481669101733E-4</v>
      </c>
      <c r="BQ122">
        <v>2.1367858545102999E-4</v>
      </c>
      <c r="BR122">
        <v>5.8358215043066502E-4</v>
      </c>
      <c r="BS122">
        <v>3.40328249568926E-4</v>
      </c>
      <c r="BT122">
        <v>0</v>
      </c>
      <c r="BU122">
        <v>2.9461374182032599E-5</v>
      </c>
      <c r="BV122">
        <v>0</v>
      </c>
      <c r="BW122">
        <v>9.4794687671383705E-5</v>
      </c>
      <c r="BX122">
        <v>1.2217602746321201E-4</v>
      </c>
      <c r="BY122">
        <v>4.5134537859430502E-5</v>
      </c>
      <c r="BZ122">
        <v>1.6972897949135999E-4</v>
      </c>
      <c r="CA122">
        <v>6.1560055117061401E-5</v>
      </c>
      <c r="CB122">
        <v>3.1409570657674798E-4</v>
      </c>
      <c r="CC122">
        <v>1.6915778899743701E-4</v>
      </c>
      <c r="CD122">
        <v>0</v>
      </c>
      <c r="CE122">
        <v>1.06216258696297E-4</v>
      </c>
      <c r="CF122">
        <v>3.3315934532274401E-4</v>
      </c>
      <c r="CG122">
        <v>5.5402198630265004E-4</v>
      </c>
      <c r="CH122">
        <v>9.3372072805973096E-5</v>
      </c>
      <c r="CI122">
        <v>1.90318497309338E-4</v>
      </c>
      <c r="CJ122">
        <f>MAX(E122:CI122)</f>
        <v>7.0046429056685598E-4</v>
      </c>
    </row>
    <row r="123" spans="1:88" x14ac:dyDescent="0.2">
      <c r="A123" t="s">
        <v>251</v>
      </c>
      <c r="B123" t="s">
        <v>251</v>
      </c>
      <c r="C123" t="s">
        <v>187</v>
      </c>
      <c r="D123" t="s">
        <v>119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1.5843349400316501E-5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1.7785169149982802E-5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2.53970339781292E-5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1.4831907216279501E-5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f>MAX(E123:CI123)</f>
        <v>2.53970339781292E-5</v>
      </c>
    </row>
    <row r="124" spans="1:88" x14ac:dyDescent="0.2">
      <c r="A124" t="s">
        <v>252</v>
      </c>
      <c r="B124" t="s">
        <v>253</v>
      </c>
      <c r="C124" t="s">
        <v>254</v>
      </c>
      <c r="D124" t="s">
        <v>255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4.6154494629050201E-5</v>
      </c>
      <c r="O124">
        <v>0</v>
      </c>
      <c r="P124">
        <v>0</v>
      </c>
      <c r="Q124">
        <v>0</v>
      </c>
      <c r="R124">
        <v>0</v>
      </c>
      <c r="S124">
        <v>5.5563295991896998E-5</v>
      </c>
      <c r="T124">
        <v>0</v>
      </c>
      <c r="U124">
        <v>0</v>
      </c>
      <c r="V124">
        <v>7.4041975915188302E-6</v>
      </c>
      <c r="W124">
        <v>0</v>
      </c>
      <c r="X124">
        <v>0</v>
      </c>
      <c r="Y124">
        <v>0</v>
      </c>
      <c r="Z124">
        <v>2.4301215683802398E-5</v>
      </c>
      <c r="AA124">
        <v>0</v>
      </c>
      <c r="AB124">
        <v>0</v>
      </c>
      <c r="AC124">
        <v>0</v>
      </c>
      <c r="AD124">
        <v>9.5859023369259705E-6</v>
      </c>
      <c r="AE124">
        <v>0</v>
      </c>
      <c r="AF124">
        <v>0</v>
      </c>
      <c r="AG124">
        <v>0</v>
      </c>
      <c r="AH124">
        <v>1.17208740733687E-5</v>
      </c>
      <c r="AI124">
        <v>0</v>
      </c>
      <c r="AJ124">
        <v>4.4711578243164803E-5</v>
      </c>
      <c r="AK124">
        <v>0</v>
      </c>
      <c r="AL124">
        <v>0</v>
      </c>
      <c r="AM124">
        <v>1.34119831766838E-5</v>
      </c>
      <c r="AN124">
        <v>0</v>
      </c>
      <c r="AO124">
        <v>1.7469440664864199E-5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3.8567900672727499E-5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7.0617444941005906E-5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1.9246466140643E-5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f>MAX(E124:CI124)</f>
        <v>7.0617444941005906E-5</v>
      </c>
    </row>
    <row r="125" spans="1:88" x14ac:dyDescent="0.2">
      <c r="A125" t="s">
        <v>256</v>
      </c>
      <c r="B125" t="s">
        <v>256</v>
      </c>
      <c r="C125" t="s">
        <v>118</v>
      </c>
      <c r="D125" t="s">
        <v>119</v>
      </c>
      <c r="E125">
        <v>1.0072887882259499E-4</v>
      </c>
      <c r="F125">
        <v>0</v>
      </c>
      <c r="G125">
        <v>0</v>
      </c>
      <c r="H125">
        <v>3.6226051484208503E-4</v>
      </c>
      <c r="I125">
        <v>6.28187080047787E-5</v>
      </c>
      <c r="J125">
        <v>0</v>
      </c>
      <c r="K125">
        <v>0</v>
      </c>
      <c r="L125">
        <v>1.6337439788394401E-4</v>
      </c>
      <c r="M125">
        <v>0</v>
      </c>
      <c r="N125">
        <v>0</v>
      </c>
      <c r="O125">
        <v>0</v>
      </c>
      <c r="P125">
        <v>7.91527485179369E-5</v>
      </c>
      <c r="Q125">
        <v>0</v>
      </c>
      <c r="R125">
        <v>7.4134438068521798E-5</v>
      </c>
      <c r="S125">
        <v>8.9663564523373996E-5</v>
      </c>
      <c r="T125">
        <v>1.4871781635412E-4</v>
      </c>
      <c r="U125">
        <v>0</v>
      </c>
      <c r="V125">
        <v>0</v>
      </c>
      <c r="W125">
        <v>0</v>
      </c>
      <c r="X125">
        <v>3.3974181297829699E-5</v>
      </c>
      <c r="Y125">
        <v>1.6480371601563699E-4</v>
      </c>
      <c r="Z125">
        <v>2.35541263291488E-4</v>
      </c>
      <c r="AA125">
        <v>2.38636571019335E-4</v>
      </c>
      <c r="AB125">
        <v>0</v>
      </c>
      <c r="AC125">
        <v>2.3118731439856601E-4</v>
      </c>
      <c r="AD125">
        <v>1.9544654607584001E-4</v>
      </c>
      <c r="AE125">
        <v>0</v>
      </c>
      <c r="AF125">
        <v>0</v>
      </c>
      <c r="AG125">
        <v>3.0900606243842202E-4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4.7275159198422698E-5</v>
      </c>
      <c r="AP125">
        <v>0</v>
      </c>
      <c r="AQ125">
        <v>0</v>
      </c>
      <c r="AR125">
        <v>0</v>
      </c>
      <c r="AS125">
        <v>2.7401794184048802E-4</v>
      </c>
      <c r="AT125">
        <v>8.3289642885835301E-5</v>
      </c>
      <c r="AU125">
        <v>0</v>
      </c>
      <c r="AV125">
        <v>0</v>
      </c>
      <c r="AW125">
        <v>1.0551252106930601E-3</v>
      </c>
      <c r="AX125">
        <v>0</v>
      </c>
      <c r="AY125">
        <v>5.2295220678593498E-4</v>
      </c>
      <c r="AZ125">
        <v>7.2438925546819595E-4</v>
      </c>
      <c r="BA125">
        <v>7.0409295680854496E-4</v>
      </c>
      <c r="BB125">
        <v>8.3978671492694905E-4</v>
      </c>
      <c r="BC125">
        <v>2.04127257145367E-4</v>
      </c>
      <c r="BD125">
        <v>5.4455907513162598E-4</v>
      </c>
      <c r="BE125">
        <v>0</v>
      </c>
      <c r="BF125">
        <v>2.8463676837288502E-4</v>
      </c>
      <c r="BG125">
        <v>1.13716111327664E-4</v>
      </c>
      <c r="BH125">
        <v>8.3661953287168095E-4</v>
      </c>
      <c r="BI125">
        <v>2.7753068014278298E-4</v>
      </c>
      <c r="BJ125">
        <v>3.8340961522081399E-4</v>
      </c>
      <c r="BK125">
        <v>3.5124811318455003E-4</v>
      </c>
      <c r="BL125">
        <v>3.9732784338210401E-4</v>
      </c>
      <c r="BM125">
        <v>0</v>
      </c>
      <c r="BN125">
        <v>2.9737537314772702E-4</v>
      </c>
      <c r="BO125">
        <v>2.0333914822857899E-4</v>
      </c>
      <c r="BP125">
        <v>6.3125669906438501E-4</v>
      </c>
      <c r="BQ125">
        <v>3.54188943532647E-4</v>
      </c>
      <c r="BR125">
        <v>8.5952398466118901E-4</v>
      </c>
      <c r="BS125">
        <v>9.0757599403865595E-4</v>
      </c>
      <c r="BT125">
        <v>4.5888937259664199E-4</v>
      </c>
      <c r="BU125">
        <v>2.9471890843379398E-4</v>
      </c>
      <c r="BV125">
        <v>0</v>
      </c>
      <c r="BW125">
        <v>5.0849302490491802E-4</v>
      </c>
      <c r="BX125">
        <v>2.84503098092163E-4</v>
      </c>
      <c r="BY125">
        <v>2.2588791666766701E-4</v>
      </c>
      <c r="BZ125">
        <v>3.4915559039314602E-4</v>
      </c>
      <c r="CA125">
        <v>3.5781125727711002E-4</v>
      </c>
      <c r="CB125">
        <v>4.54105748870131E-4</v>
      </c>
      <c r="CC125">
        <v>5.4369457547499096E-4</v>
      </c>
      <c r="CD125">
        <v>0</v>
      </c>
      <c r="CE125">
        <v>0</v>
      </c>
      <c r="CF125">
        <v>5.3102626233640096E-4</v>
      </c>
      <c r="CG125">
        <v>5.6788971070312702E-4</v>
      </c>
      <c r="CH125">
        <v>4.9240221740993702E-4</v>
      </c>
      <c r="CI125">
        <v>0</v>
      </c>
      <c r="CJ125">
        <f>MAX(E125:CI125)</f>
        <v>1.0551252106930601E-3</v>
      </c>
    </row>
    <row r="126" spans="1:88" x14ac:dyDescent="0.2">
      <c r="A126" t="s">
        <v>257</v>
      </c>
      <c r="B126" t="s">
        <v>257</v>
      </c>
      <c r="C126" t="s">
        <v>118</v>
      </c>
      <c r="D126" t="s">
        <v>119</v>
      </c>
      <c r="E126">
        <v>0</v>
      </c>
      <c r="F126">
        <v>0</v>
      </c>
      <c r="G126">
        <v>1.42091140450309E-5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3.97257403776698E-5</v>
      </c>
      <c r="AW126">
        <v>2.4363574156802401E-5</v>
      </c>
      <c r="AX126">
        <v>0</v>
      </c>
      <c r="AY126">
        <v>0</v>
      </c>
      <c r="AZ126">
        <v>2.15909126304784E-5</v>
      </c>
      <c r="BA126">
        <v>2.2942196754805399E-5</v>
      </c>
      <c r="BB126">
        <v>0</v>
      </c>
      <c r="BC126">
        <v>1.32050484805701E-5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9.1385228061000301E-6</v>
      </c>
      <c r="BJ126">
        <v>6.7523974936416504E-6</v>
      </c>
      <c r="BK126">
        <v>0</v>
      </c>
      <c r="BL126">
        <v>7.7348696632603805E-6</v>
      </c>
      <c r="BM126">
        <v>0</v>
      </c>
      <c r="BN126">
        <v>2.8530277772838201E-5</v>
      </c>
      <c r="BO126">
        <v>1.2003558130584799E-5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6.4216702356787101E-6</v>
      </c>
      <c r="CC126">
        <v>1.1446428505205099E-5</v>
      </c>
      <c r="CD126">
        <v>0</v>
      </c>
      <c r="CE126">
        <v>0</v>
      </c>
      <c r="CF126">
        <v>1.11006139678335E-5</v>
      </c>
      <c r="CG126">
        <v>2.8363838245724199E-5</v>
      </c>
      <c r="CH126">
        <v>0</v>
      </c>
      <c r="CI126">
        <v>0</v>
      </c>
      <c r="CJ126">
        <f>MAX(E126:CI126)</f>
        <v>3.97257403776698E-5</v>
      </c>
    </row>
    <row r="127" spans="1:88" x14ac:dyDescent="0.2">
      <c r="A127" t="s">
        <v>258</v>
      </c>
      <c r="B127" t="s">
        <v>258</v>
      </c>
      <c r="C127" t="s">
        <v>118</v>
      </c>
      <c r="D127" t="s">
        <v>119</v>
      </c>
      <c r="E127">
        <v>2.7947630966878899E-5</v>
      </c>
      <c r="F127">
        <v>0</v>
      </c>
      <c r="G127">
        <v>0</v>
      </c>
      <c r="H127">
        <v>7.5166789293262698E-5</v>
      </c>
      <c r="I127">
        <v>0</v>
      </c>
      <c r="J127">
        <v>1.06534433292535E-4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1.79660663818812E-5</v>
      </c>
      <c r="S127">
        <v>0</v>
      </c>
      <c r="T127">
        <v>0</v>
      </c>
      <c r="U127">
        <v>6.3126251318022103E-5</v>
      </c>
      <c r="V127">
        <v>0</v>
      </c>
      <c r="W127">
        <v>2.34878897661005E-5</v>
      </c>
      <c r="X127">
        <v>0</v>
      </c>
      <c r="Y127">
        <v>7.1850037642700898E-5</v>
      </c>
      <c r="Z127">
        <v>4.8621460486851701E-5</v>
      </c>
      <c r="AA127">
        <v>1.0900740473073501E-4</v>
      </c>
      <c r="AB127">
        <v>0</v>
      </c>
      <c r="AC127">
        <v>1.5742728295305901E-4</v>
      </c>
      <c r="AD127">
        <v>7.8981795069562604E-5</v>
      </c>
      <c r="AE127">
        <v>8.8419285269914795E-5</v>
      </c>
      <c r="AF127">
        <v>3.78622134925329E-4</v>
      </c>
      <c r="AG127">
        <v>1.09350557113473E-4</v>
      </c>
      <c r="AH127">
        <v>8.1726330575393404E-5</v>
      </c>
      <c r="AI127">
        <v>0</v>
      </c>
      <c r="AJ127">
        <v>3.8510929421685599E-5</v>
      </c>
      <c r="AK127">
        <v>2.0439958043495601E-4</v>
      </c>
      <c r="AL127">
        <v>3.8312456609002001E-5</v>
      </c>
      <c r="AM127">
        <v>8.56828690084021E-5</v>
      </c>
      <c r="AN127">
        <v>0</v>
      </c>
      <c r="AO127">
        <v>6.5977370054479093E-5</v>
      </c>
      <c r="AP127">
        <v>8.1107683914238401E-5</v>
      </c>
      <c r="AQ127">
        <v>0</v>
      </c>
      <c r="AR127">
        <v>4.45980633410394E-5</v>
      </c>
      <c r="AS127">
        <v>0</v>
      </c>
      <c r="AT127">
        <v>0</v>
      </c>
      <c r="AU127">
        <v>1.7907048093058299E-4</v>
      </c>
      <c r="AV127">
        <v>1.01160507630987E-4</v>
      </c>
      <c r="AW127">
        <v>2.37938653733034E-4</v>
      </c>
      <c r="AX127">
        <v>2.28575142925743E-4</v>
      </c>
      <c r="AY127">
        <v>1.40052220865536E-4</v>
      </c>
      <c r="AZ127">
        <v>0</v>
      </c>
      <c r="BA127">
        <v>1.9796572283620499E-4</v>
      </c>
      <c r="BB127">
        <v>1.6818257594274801E-4</v>
      </c>
      <c r="BC127">
        <v>2.44171516205025E-5</v>
      </c>
      <c r="BD127">
        <v>1.9456557416581299E-4</v>
      </c>
      <c r="BE127">
        <v>8.0246666394782404E-5</v>
      </c>
      <c r="BF127">
        <v>9.0423018384887903E-5</v>
      </c>
      <c r="BG127">
        <v>0</v>
      </c>
      <c r="BH127">
        <v>0</v>
      </c>
      <c r="BI127">
        <v>5.8226676248831301E-5</v>
      </c>
      <c r="BJ127">
        <v>1.12182212221569E-4</v>
      </c>
      <c r="BK127">
        <v>3.1122179269438999E-5</v>
      </c>
      <c r="BL127">
        <v>1.43080681484564E-4</v>
      </c>
      <c r="BM127">
        <v>0</v>
      </c>
      <c r="BN127">
        <v>0</v>
      </c>
      <c r="BO127">
        <v>3.5176125332077199E-5</v>
      </c>
      <c r="BP127">
        <v>1.6718988536550301E-4</v>
      </c>
      <c r="BQ127">
        <v>8.7742701152923402E-5</v>
      </c>
      <c r="BR127">
        <v>2.93903663788612E-4</v>
      </c>
      <c r="BS127">
        <v>6.4014152481243697E-5</v>
      </c>
      <c r="BT127">
        <v>1.6952860954632E-4</v>
      </c>
      <c r="BU127">
        <v>4.9042432160131901E-5</v>
      </c>
      <c r="BV127">
        <v>0</v>
      </c>
      <c r="BW127">
        <v>2.18077570376333E-4</v>
      </c>
      <c r="BX127">
        <v>0</v>
      </c>
      <c r="BY127">
        <v>4.4151147958625499E-5</v>
      </c>
      <c r="BZ127">
        <v>0</v>
      </c>
      <c r="CA127">
        <v>6.9636029404929699E-5</v>
      </c>
      <c r="CB127">
        <v>0</v>
      </c>
      <c r="CC127">
        <v>1.36598207378815E-4</v>
      </c>
      <c r="CD127">
        <v>3.8682363348607102E-5</v>
      </c>
      <c r="CE127">
        <v>1.16478830103503E-4</v>
      </c>
      <c r="CF127">
        <v>2.5034677434719398E-4</v>
      </c>
      <c r="CG127">
        <v>1.73894561585657E-4</v>
      </c>
      <c r="CH127">
        <v>0</v>
      </c>
      <c r="CI127">
        <v>2.50695189201417E-5</v>
      </c>
      <c r="CJ127">
        <f>MAX(E127:CI127)</f>
        <v>3.78622134925329E-4</v>
      </c>
    </row>
    <row r="128" spans="1:88" x14ac:dyDescent="0.2">
      <c r="A128" t="s">
        <v>259</v>
      </c>
      <c r="B128" t="s">
        <v>259</v>
      </c>
      <c r="C128" t="s">
        <v>118</v>
      </c>
      <c r="D128" t="s">
        <v>119</v>
      </c>
      <c r="E128">
        <v>3.2037233016662699E-5</v>
      </c>
      <c r="F128">
        <v>6.8003615007262001E-5</v>
      </c>
      <c r="G128">
        <v>5.9694868521860403E-5</v>
      </c>
      <c r="H128">
        <v>0</v>
      </c>
      <c r="I128">
        <v>1.21707684497271E-4</v>
      </c>
      <c r="J128">
        <v>0</v>
      </c>
      <c r="K128">
        <v>1.2498100137290101E-4</v>
      </c>
      <c r="L128">
        <v>3.4017860823894903E-5</v>
      </c>
      <c r="M128">
        <v>0</v>
      </c>
      <c r="N128">
        <v>0</v>
      </c>
      <c r="O128">
        <v>0</v>
      </c>
      <c r="P128">
        <v>7.5050052433851296E-5</v>
      </c>
      <c r="Q128">
        <v>0</v>
      </c>
      <c r="R128">
        <v>1.0115631496568901E-4</v>
      </c>
      <c r="S128">
        <v>2.8014895060105398E-5</v>
      </c>
      <c r="T128">
        <v>8.4221699354334906E-5</v>
      </c>
      <c r="U128">
        <v>1.4789006506092599E-4</v>
      </c>
      <c r="V128">
        <v>1.00802661739148E-4</v>
      </c>
      <c r="W128">
        <v>0</v>
      </c>
      <c r="X128">
        <v>4.2346351685433302E-5</v>
      </c>
      <c r="Y128">
        <v>1.1115935036023601E-4</v>
      </c>
      <c r="Z128">
        <v>2.2895809343400401E-5</v>
      </c>
      <c r="AA128">
        <v>1.0563966127327E-4</v>
      </c>
      <c r="AB128">
        <v>9.2870973934023406E-5</v>
      </c>
      <c r="AC128">
        <v>3.2896295941903302E-4</v>
      </c>
      <c r="AD128">
        <v>8.4976727077597301E-5</v>
      </c>
      <c r="AE128">
        <v>0</v>
      </c>
      <c r="AF128">
        <v>2.66180355038712E-4</v>
      </c>
      <c r="AG128">
        <v>0</v>
      </c>
      <c r="AH128">
        <v>1.11982459039268E-4</v>
      </c>
      <c r="AI128">
        <v>0</v>
      </c>
      <c r="AJ128">
        <v>0</v>
      </c>
      <c r="AK128">
        <v>2.14613481590864E-4</v>
      </c>
      <c r="AL128">
        <v>8.3655789073741295E-5</v>
      </c>
      <c r="AM128">
        <v>2.4749475520601099E-5</v>
      </c>
      <c r="AN128">
        <v>7.3895671503092006E-5</v>
      </c>
      <c r="AO128">
        <v>4.3795450696360498E-5</v>
      </c>
      <c r="AP128">
        <v>0</v>
      </c>
      <c r="AQ128">
        <v>0</v>
      </c>
      <c r="AR128">
        <v>0</v>
      </c>
      <c r="AS128">
        <v>9.4286605374493507E-5</v>
      </c>
      <c r="AT128">
        <v>0</v>
      </c>
      <c r="AU128">
        <v>2.3648848548984399E-4</v>
      </c>
      <c r="AV128">
        <v>2.45636556207057E-5</v>
      </c>
      <c r="AW128">
        <v>8.4416239172924399E-5</v>
      </c>
      <c r="AX128">
        <v>0</v>
      </c>
      <c r="AY128">
        <v>0</v>
      </c>
      <c r="AZ128">
        <v>2.6239587293274601E-4</v>
      </c>
      <c r="BA128">
        <v>1.05841259678043E-4</v>
      </c>
      <c r="BB128">
        <v>2.0142575491828801E-5</v>
      </c>
      <c r="BC128">
        <v>1.6774516069659E-4</v>
      </c>
      <c r="BD128">
        <v>0</v>
      </c>
      <c r="BE128">
        <v>6.4852242802154096E-5</v>
      </c>
      <c r="BF128">
        <v>0</v>
      </c>
      <c r="BG128">
        <v>0</v>
      </c>
      <c r="BH128">
        <v>0</v>
      </c>
      <c r="BI128">
        <v>7.0595496991168296E-5</v>
      </c>
      <c r="BJ128">
        <v>8.5316690404256207E-5</v>
      </c>
      <c r="BK128">
        <v>1.33642318066252E-4</v>
      </c>
      <c r="BL128">
        <v>1.83480535931445E-4</v>
      </c>
      <c r="BM128">
        <v>1.4510119862778901E-4</v>
      </c>
      <c r="BN128">
        <v>0</v>
      </c>
      <c r="BO128">
        <v>4.1557460427398099E-4</v>
      </c>
      <c r="BP128">
        <v>2.7671519003128798E-4</v>
      </c>
      <c r="BQ128">
        <v>2.4469776350843903E-4</v>
      </c>
      <c r="BR128">
        <v>1.4759817920733501E-4</v>
      </c>
      <c r="BS128">
        <v>1.2881487012976001E-4</v>
      </c>
      <c r="BT128">
        <v>0</v>
      </c>
      <c r="BU128">
        <v>6.1275378135489702E-5</v>
      </c>
      <c r="BV128">
        <v>2.4303398050852199E-5</v>
      </c>
      <c r="BW128">
        <v>4.8945638692853603E-5</v>
      </c>
      <c r="BX128">
        <v>4.3224104052439799E-5</v>
      </c>
      <c r="BY128">
        <v>0</v>
      </c>
      <c r="BZ128">
        <v>3.6518253579666298E-4</v>
      </c>
      <c r="CA128">
        <v>1.00065875622123E-4</v>
      </c>
      <c r="CB128">
        <v>2.76366246400204E-5</v>
      </c>
      <c r="CC128">
        <v>0</v>
      </c>
      <c r="CD128">
        <v>6.05533256462254E-5</v>
      </c>
      <c r="CE128">
        <v>1.3939108545287499E-4</v>
      </c>
      <c r="CF128">
        <v>1.69043314689301E-4</v>
      </c>
      <c r="CG128">
        <v>1.80965588716536E-4</v>
      </c>
      <c r="CH128">
        <v>1.0266986713446399E-4</v>
      </c>
      <c r="CI128">
        <v>0</v>
      </c>
      <c r="CJ128">
        <f>MAX(E128:CI128)</f>
        <v>4.1557460427398099E-4</v>
      </c>
    </row>
    <row r="129" spans="1:88" x14ac:dyDescent="0.2">
      <c r="A129" t="s">
        <v>260</v>
      </c>
      <c r="B129" t="s">
        <v>261</v>
      </c>
      <c r="C129" t="s">
        <v>116</v>
      </c>
      <c r="D129" t="s">
        <v>89</v>
      </c>
      <c r="E129">
        <v>4.4570961198674502E-5</v>
      </c>
      <c r="F129">
        <v>2.00313860099536E-4</v>
      </c>
      <c r="G129">
        <v>4.5404301617597202E-4</v>
      </c>
      <c r="H129">
        <v>0</v>
      </c>
      <c r="I129">
        <v>7.1021035482559406E-5</v>
      </c>
      <c r="J129">
        <v>7.0941113348688505E-5</v>
      </c>
      <c r="K129">
        <v>2.6267878571048601E-4</v>
      </c>
      <c r="L129">
        <v>2.1168934541778101E-4</v>
      </c>
      <c r="M129">
        <v>2.3267461287258299E-5</v>
      </c>
      <c r="N129">
        <v>2.0258393377043899E-5</v>
      </c>
      <c r="O129">
        <v>3.5115673308361903E-5</v>
      </c>
      <c r="P129">
        <v>2.0598993473453501E-4</v>
      </c>
      <c r="Q129">
        <v>4.83782327946E-5</v>
      </c>
      <c r="R129">
        <v>1.5309570252493E-4</v>
      </c>
      <c r="S129">
        <v>3.0707255319268002E-5</v>
      </c>
      <c r="T129">
        <v>6.3969948340597495E-5</v>
      </c>
      <c r="U129">
        <v>3.48189764254212E-4</v>
      </c>
      <c r="V129">
        <v>1.2576303224472299E-4</v>
      </c>
      <c r="W129">
        <v>1.94872250197747E-4</v>
      </c>
      <c r="X129">
        <v>1.4683953481600201E-4</v>
      </c>
      <c r="Y129">
        <v>9.5035310941127705E-5</v>
      </c>
      <c r="Z129">
        <v>4.3423317493030702E-4</v>
      </c>
      <c r="AA129">
        <v>1.8917554769633699E-4</v>
      </c>
      <c r="AB129">
        <v>2.9338033490278399E-4</v>
      </c>
      <c r="AC129">
        <v>3.4889520434585502E-4</v>
      </c>
      <c r="AD129">
        <v>5.19624955114897E-4</v>
      </c>
      <c r="AE129">
        <v>0</v>
      </c>
      <c r="AF129">
        <v>2.4303454011558698E-3</v>
      </c>
      <c r="AG129">
        <v>0</v>
      </c>
      <c r="AH129">
        <v>5.0998805016097895E-4</v>
      </c>
      <c r="AI129">
        <v>2.0179341961474699E-5</v>
      </c>
      <c r="AJ129">
        <v>2.9601246536801199E-4</v>
      </c>
      <c r="AK129">
        <v>1.3679461453874501E-4</v>
      </c>
      <c r="AL129">
        <v>4.5759155414239899E-4</v>
      </c>
      <c r="AM129">
        <v>9.5049754613365302E-5</v>
      </c>
      <c r="AN129">
        <v>8.6462741157378902E-4</v>
      </c>
      <c r="AO129">
        <v>9.1517258104766697E-6</v>
      </c>
      <c r="AP129">
        <v>9.0052754210528095E-5</v>
      </c>
      <c r="AQ129">
        <v>0</v>
      </c>
      <c r="AR129">
        <v>0</v>
      </c>
      <c r="AS129">
        <v>2.3966576402288499E-4</v>
      </c>
      <c r="AT129">
        <v>8.4122854312455406E-5</v>
      </c>
      <c r="AU129">
        <v>0</v>
      </c>
      <c r="AV129">
        <v>2.7124578610664E-4</v>
      </c>
      <c r="AW129">
        <v>3.0064016423169801E-3</v>
      </c>
      <c r="AX129">
        <v>4.0419319736830801E-4</v>
      </c>
      <c r="AY129">
        <v>1.0669105263865499E-3</v>
      </c>
      <c r="AZ129">
        <v>4.6017497776075402E-4</v>
      </c>
      <c r="BA129">
        <v>1.4069770063643301E-3</v>
      </c>
      <c r="BB129">
        <v>3.7418381626231403E-4</v>
      </c>
      <c r="BC129">
        <v>4.4228885912107999E-4</v>
      </c>
      <c r="BD129">
        <v>0</v>
      </c>
      <c r="BE129">
        <v>8.7784936637276599E-4</v>
      </c>
      <c r="BF129">
        <v>1.21424689054206E-4</v>
      </c>
      <c r="BG129">
        <v>1.15186610806392E-4</v>
      </c>
      <c r="BH129">
        <v>1.71390205694331E-4</v>
      </c>
      <c r="BI129">
        <v>7.6290770309859004E-4</v>
      </c>
      <c r="BJ129">
        <v>3.4738015131141999E-4</v>
      </c>
      <c r="BK129">
        <v>2.7964753788489201E-4</v>
      </c>
      <c r="BL129">
        <v>4.50204674508809E-4</v>
      </c>
      <c r="BM129">
        <v>3.1925374467029301E-4</v>
      </c>
      <c r="BN129">
        <v>3.9425753294715799E-4</v>
      </c>
      <c r="BO129">
        <v>1.9649839164905401E-4</v>
      </c>
      <c r="BP129">
        <v>0</v>
      </c>
      <c r="BQ129">
        <v>6.0351907348747105E-4</v>
      </c>
      <c r="BR129">
        <v>0</v>
      </c>
      <c r="BS129">
        <v>0</v>
      </c>
      <c r="BT129">
        <v>9.6784096459182002E-4</v>
      </c>
      <c r="BU129">
        <v>1.4659325899927299E-4</v>
      </c>
      <c r="BV129">
        <v>3.081328493905E-5</v>
      </c>
      <c r="BW129">
        <v>1.3765056552724001E-4</v>
      </c>
      <c r="BX129">
        <v>0</v>
      </c>
      <c r="BY129">
        <v>1.1412925964168E-4</v>
      </c>
      <c r="BZ129">
        <v>7.3207065746274801E-4</v>
      </c>
      <c r="CA129">
        <v>1.2879084718690501E-4</v>
      </c>
      <c r="CB129">
        <v>1.6749930138573101E-3</v>
      </c>
      <c r="CC129">
        <v>3.2507082989690597E-4</v>
      </c>
      <c r="CD129">
        <v>3.6207038182459601E-4</v>
      </c>
      <c r="CE129">
        <v>1.18289446596196E-4</v>
      </c>
      <c r="CF129">
        <v>1.10809501215422E-3</v>
      </c>
      <c r="CG129">
        <v>1.3449402781743401E-3</v>
      </c>
      <c r="CH129">
        <v>0</v>
      </c>
      <c r="CI129">
        <v>0</v>
      </c>
      <c r="CJ129">
        <f>MAX(E129:CI129)</f>
        <v>3.0064016423169801E-3</v>
      </c>
    </row>
    <row r="130" spans="1:88" x14ac:dyDescent="0.2">
      <c r="A130" t="s">
        <v>262</v>
      </c>
      <c r="B130" t="s">
        <v>262</v>
      </c>
      <c r="C130" t="s">
        <v>214</v>
      </c>
      <c r="D130" t="s">
        <v>214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6.4835370954959702E-6</v>
      </c>
      <c r="AD130">
        <v>0</v>
      </c>
      <c r="AE130">
        <v>0</v>
      </c>
      <c r="AF130">
        <v>3.9432653265971602E-5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2.2158889918812802E-5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1.3325913810306399E-5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8.2170891725533706E-6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1.6248115589891799E-5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6.0892387159369904E-6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f>MAX(E130:CI130)</f>
        <v>3.9432653265971602E-5</v>
      </c>
    </row>
    <row r="131" spans="1:88" x14ac:dyDescent="0.2">
      <c r="A131" t="s">
        <v>263</v>
      </c>
      <c r="B131" t="s">
        <v>263</v>
      </c>
      <c r="C131" t="s">
        <v>187</v>
      </c>
      <c r="D131" t="s">
        <v>89</v>
      </c>
      <c r="E131">
        <v>8.7444198212012101E-4</v>
      </c>
      <c r="F131">
        <v>1.6093555423996001E-3</v>
      </c>
      <c r="G131">
        <v>3.5576481965407902E-3</v>
      </c>
      <c r="H131">
        <v>1.56496633646194E-3</v>
      </c>
      <c r="I131">
        <v>0</v>
      </c>
      <c r="J131">
        <v>7.2332920426537695E-4</v>
      </c>
      <c r="K131">
        <v>2.8993857493884801E-3</v>
      </c>
      <c r="L131">
        <v>0</v>
      </c>
      <c r="M131">
        <v>6.8748305785595702E-4</v>
      </c>
      <c r="N131">
        <v>3.58791379564156E-4</v>
      </c>
      <c r="O131">
        <v>0</v>
      </c>
      <c r="P131">
        <v>1.3350452932841799E-3</v>
      </c>
      <c r="Q131">
        <v>3.1442567360946E-4</v>
      </c>
      <c r="R131">
        <v>0</v>
      </c>
      <c r="S131">
        <v>0</v>
      </c>
      <c r="T131">
        <v>5.1883229362495399E-4</v>
      </c>
      <c r="U131">
        <v>1.95147952946482E-3</v>
      </c>
      <c r="V131">
        <v>7.6181759685801302E-4</v>
      </c>
      <c r="W131">
        <v>1.18644333234046E-3</v>
      </c>
      <c r="X131">
        <v>1.3290367804538301E-3</v>
      </c>
      <c r="Y131">
        <v>7.7584863430934701E-4</v>
      </c>
      <c r="Z131">
        <v>0</v>
      </c>
      <c r="AA131">
        <v>0</v>
      </c>
      <c r="AB131">
        <v>8.1819910480643396E-4</v>
      </c>
      <c r="AC131">
        <v>2.42886848574466E-3</v>
      </c>
      <c r="AD131">
        <v>0</v>
      </c>
      <c r="AE131">
        <v>0</v>
      </c>
      <c r="AF131">
        <v>6.6416043426438401E-3</v>
      </c>
      <c r="AG131">
        <v>9.6611761372531401E-4</v>
      </c>
      <c r="AH131">
        <v>1.7903420000470499E-3</v>
      </c>
      <c r="AI131">
        <v>8.6828440328524004E-4</v>
      </c>
      <c r="AJ131">
        <v>2.1827449896591501E-3</v>
      </c>
      <c r="AK131">
        <v>1.3286604266571501E-3</v>
      </c>
      <c r="AL131">
        <v>1.9582178273156101E-3</v>
      </c>
      <c r="AM131">
        <v>1.24844380888771E-3</v>
      </c>
      <c r="AN131">
        <v>1.3147827576086399E-3</v>
      </c>
      <c r="AO131">
        <v>4.1758318266794399E-4</v>
      </c>
      <c r="AP131">
        <v>1.2557089798546099E-3</v>
      </c>
      <c r="AQ131">
        <v>7.3865901063992602E-4</v>
      </c>
      <c r="AR131">
        <v>1.5799451133391301E-3</v>
      </c>
      <c r="AS131">
        <v>1.7800450757236199E-3</v>
      </c>
      <c r="AT131">
        <v>6.2934965723265802E-4</v>
      </c>
      <c r="AU131">
        <v>2.4700514528327999E-3</v>
      </c>
      <c r="AV131">
        <v>1.8355237151314E-3</v>
      </c>
      <c r="AW131">
        <v>8.9857845208831007E-3</v>
      </c>
      <c r="AX131">
        <v>1.82913179938566E-3</v>
      </c>
      <c r="AY131">
        <v>2.7695933005180999E-3</v>
      </c>
      <c r="AZ131">
        <v>2.1815089545651001E-3</v>
      </c>
      <c r="BA131">
        <v>5.5228977138442699E-3</v>
      </c>
      <c r="BB131">
        <v>1.66033988219731E-3</v>
      </c>
      <c r="BC131">
        <v>2.6470552128254202E-3</v>
      </c>
      <c r="BD131">
        <v>3.07402220306712E-3</v>
      </c>
      <c r="BE131">
        <v>3.4984768140783802E-3</v>
      </c>
      <c r="BF131">
        <v>1.7540945532348101E-3</v>
      </c>
      <c r="BG131">
        <v>0</v>
      </c>
      <c r="BH131">
        <v>0</v>
      </c>
      <c r="BI131">
        <v>2.8828696098454798E-3</v>
      </c>
      <c r="BJ131">
        <v>1.31295850264869E-3</v>
      </c>
      <c r="BK131">
        <v>2.0044904893198202E-3</v>
      </c>
      <c r="BL131">
        <v>0</v>
      </c>
      <c r="BM131">
        <v>2.9197656839991299E-3</v>
      </c>
      <c r="BN131">
        <v>1.94605450588983E-3</v>
      </c>
      <c r="BO131">
        <v>3.5161630031588201E-3</v>
      </c>
      <c r="BP131">
        <v>3.7014680071275801E-3</v>
      </c>
      <c r="BQ131">
        <v>2.28647259279039E-3</v>
      </c>
      <c r="BR131">
        <v>5.4236917640425302E-3</v>
      </c>
      <c r="BS131">
        <v>0</v>
      </c>
      <c r="BT131">
        <v>3.6202203057721901E-3</v>
      </c>
      <c r="BU131">
        <v>1.18327584755306E-3</v>
      </c>
      <c r="BV131">
        <v>2.98806472104348E-4</v>
      </c>
      <c r="BW131">
        <v>1.8716687961723101E-3</v>
      </c>
      <c r="BX131">
        <v>2.8621737873350101E-3</v>
      </c>
      <c r="BY131">
        <v>1.3106568450576099E-3</v>
      </c>
      <c r="BZ131">
        <v>2.4155831972346E-3</v>
      </c>
      <c r="CA131">
        <v>1.6139088385263699E-3</v>
      </c>
      <c r="CB131">
        <v>4.8373331662983302E-3</v>
      </c>
      <c r="CC131">
        <v>2.5444856151466298E-3</v>
      </c>
      <c r="CD131">
        <v>0</v>
      </c>
      <c r="CE131">
        <v>1.03557128612675E-3</v>
      </c>
      <c r="CF131">
        <v>5.4673263736278498E-3</v>
      </c>
      <c r="CG131">
        <v>3.5202458891169402E-3</v>
      </c>
      <c r="CH131">
        <v>6.3042873483268097E-4</v>
      </c>
      <c r="CI131">
        <v>0</v>
      </c>
      <c r="CJ131">
        <f>MAX(E131:CI131)</f>
        <v>8.9857845208831007E-3</v>
      </c>
    </row>
    <row r="132" spans="1:88" x14ac:dyDescent="0.2">
      <c r="A132" t="s">
        <v>264</v>
      </c>
      <c r="B132" t="s">
        <v>264</v>
      </c>
      <c r="C132" t="s">
        <v>187</v>
      </c>
      <c r="D132" t="s">
        <v>89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1.2681277319888E-5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1.29351955910353E-5</v>
      </c>
      <c r="AS132">
        <v>0</v>
      </c>
      <c r="AT132">
        <v>0</v>
      </c>
      <c r="AU132">
        <v>0</v>
      </c>
      <c r="AV132">
        <v>0</v>
      </c>
      <c r="AW132">
        <v>2.9640805391959902E-5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4.03454905216839E-5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1.0622971100666E-5</v>
      </c>
      <c r="BS132">
        <v>0</v>
      </c>
      <c r="BT132">
        <v>0</v>
      </c>
      <c r="BU132">
        <v>7.93664582084241E-6</v>
      </c>
      <c r="BV132">
        <v>0</v>
      </c>
      <c r="BW132">
        <v>0</v>
      </c>
      <c r="BX132">
        <v>0</v>
      </c>
      <c r="BY132">
        <v>0</v>
      </c>
      <c r="BZ132">
        <v>1.3576317938438499E-5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f>MAX(E132:CI132)</f>
        <v>4.03454905216839E-5</v>
      </c>
    </row>
    <row r="133" spans="1:88" x14ac:dyDescent="0.2">
      <c r="A133" t="s">
        <v>265</v>
      </c>
      <c r="B133" t="s">
        <v>265</v>
      </c>
      <c r="C133" t="s">
        <v>254</v>
      </c>
      <c r="D133" t="s">
        <v>255</v>
      </c>
      <c r="E133">
        <v>6.3856483678589103E-5</v>
      </c>
      <c r="F133">
        <v>2.3790414017459301E-4</v>
      </c>
      <c r="G133">
        <v>2.7172024656040299E-4</v>
      </c>
      <c r="H133">
        <v>3.22357664037744E-3</v>
      </c>
      <c r="I133">
        <v>1.41964252486356E-4</v>
      </c>
      <c r="J133">
        <v>0</v>
      </c>
      <c r="K133">
        <v>0</v>
      </c>
      <c r="L133">
        <v>0</v>
      </c>
      <c r="M133">
        <v>7.6831444784782204E-5</v>
      </c>
      <c r="N133">
        <v>0</v>
      </c>
      <c r="O133">
        <v>0</v>
      </c>
      <c r="P133">
        <v>0</v>
      </c>
      <c r="Q133">
        <v>8.3319949873907095E-4</v>
      </c>
      <c r="R133">
        <v>1.52569948628088E-4</v>
      </c>
      <c r="S133">
        <v>1.8027686619593799E-4</v>
      </c>
      <c r="T133">
        <v>1.2384743033554301E-4</v>
      </c>
      <c r="U133">
        <v>5.8183253160407299E-5</v>
      </c>
      <c r="V133">
        <v>7.6581699504292902E-4</v>
      </c>
      <c r="W133">
        <v>3.4346065989402303E-5</v>
      </c>
      <c r="X133">
        <v>0</v>
      </c>
      <c r="Y133">
        <v>0</v>
      </c>
      <c r="Z133">
        <v>0</v>
      </c>
      <c r="AA133">
        <v>4.3321850568826201E-5</v>
      </c>
      <c r="AB133">
        <v>0</v>
      </c>
      <c r="AC133">
        <v>0</v>
      </c>
      <c r="AD133">
        <v>0</v>
      </c>
      <c r="AE133">
        <v>5.3087833223313396E-3</v>
      </c>
      <c r="AF133">
        <v>0</v>
      </c>
      <c r="AG133">
        <v>0</v>
      </c>
      <c r="AH133">
        <v>0</v>
      </c>
      <c r="AI133">
        <v>0</v>
      </c>
      <c r="AJ133">
        <v>2.8124058977459801E-5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2.6717142079166E-4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1.8849290165264699E-3</v>
      </c>
      <c r="BK133">
        <v>1.2308921443668699E-4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1.01233208113295E-4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5.0149660810963E-5</v>
      </c>
      <c r="CB133">
        <v>0</v>
      </c>
      <c r="CC133">
        <v>0</v>
      </c>
      <c r="CD133">
        <v>0</v>
      </c>
      <c r="CE133">
        <v>7.3097075186860096E-5</v>
      </c>
      <c r="CF133">
        <v>0</v>
      </c>
      <c r="CG133">
        <v>0</v>
      </c>
      <c r="CH133">
        <v>0</v>
      </c>
      <c r="CI133">
        <v>0</v>
      </c>
      <c r="CJ133">
        <f>MAX(E133:CI133)</f>
        <v>5.3087833223313396E-3</v>
      </c>
    </row>
    <row r="134" spans="1:88" x14ac:dyDescent="0.2">
      <c r="A134" t="s">
        <v>266</v>
      </c>
      <c r="B134" t="s">
        <v>266</v>
      </c>
      <c r="C134" t="s">
        <v>118</v>
      </c>
      <c r="D134" t="s">
        <v>119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2.19506305386192E-5</v>
      </c>
      <c r="Z134">
        <v>0</v>
      </c>
      <c r="AA134">
        <v>0</v>
      </c>
      <c r="AB134">
        <v>2.1257197129173801E-5</v>
      </c>
      <c r="AC134">
        <v>0</v>
      </c>
      <c r="AD134">
        <v>1.78753271952545E-5</v>
      </c>
      <c r="AE134">
        <v>1.1753304829382399E-5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1.17399973802522E-5</v>
      </c>
      <c r="AL134">
        <v>1.02902991416846E-5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1.77988113506323E-5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1.02295610840248E-5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1.8966404124407499E-5</v>
      </c>
      <c r="BZ134">
        <v>0</v>
      </c>
      <c r="CA134">
        <v>0</v>
      </c>
      <c r="CB134">
        <v>0</v>
      </c>
      <c r="CC134">
        <v>2.24283848719257E-5</v>
      </c>
      <c r="CD134">
        <v>0</v>
      </c>
      <c r="CE134">
        <v>0</v>
      </c>
      <c r="CF134">
        <v>1.7124503949036399E-5</v>
      </c>
      <c r="CG134">
        <v>0</v>
      </c>
      <c r="CH134">
        <v>0</v>
      </c>
      <c r="CI134">
        <v>0</v>
      </c>
      <c r="CJ134">
        <f>MAX(E134:CI134)</f>
        <v>2.24283848719257E-5</v>
      </c>
    </row>
    <row r="135" spans="1:88" x14ac:dyDescent="0.2">
      <c r="A135" t="s">
        <v>267</v>
      </c>
      <c r="B135" t="s">
        <v>267</v>
      </c>
      <c r="C135" t="s">
        <v>118</v>
      </c>
      <c r="D135" t="s">
        <v>268</v>
      </c>
      <c r="E135">
        <v>0</v>
      </c>
      <c r="F135">
        <v>0</v>
      </c>
      <c r="G135">
        <v>0</v>
      </c>
      <c r="H135">
        <v>0</v>
      </c>
      <c r="I135">
        <v>1.2843665905436401E-5</v>
      </c>
      <c r="J135">
        <v>0</v>
      </c>
      <c r="K135">
        <v>1.5514007604988898E-5</v>
      </c>
      <c r="L135">
        <v>0</v>
      </c>
      <c r="M135">
        <v>0</v>
      </c>
      <c r="N135">
        <v>0</v>
      </c>
      <c r="O135">
        <v>0</v>
      </c>
      <c r="P135">
        <v>1.0424518394350601E-5</v>
      </c>
      <c r="Q135">
        <v>0</v>
      </c>
      <c r="R135">
        <v>0</v>
      </c>
      <c r="S135">
        <v>0</v>
      </c>
      <c r="T135">
        <v>0</v>
      </c>
      <c r="U135">
        <v>7.4760466038320403E-6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7.2402239545768498E-6</v>
      </c>
      <c r="AD135">
        <v>0</v>
      </c>
      <c r="AE135">
        <v>0</v>
      </c>
      <c r="AF135">
        <v>0</v>
      </c>
      <c r="AG135">
        <v>0</v>
      </c>
      <c r="AH135">
        <v>2.0586096298243399E-5</v>
      </c>
      <c r="AI135">
        <v>1.46786123069633E-5</v>
      </c>
      <c r="AJ135">
        <v>2.90509273305193E-5</v>
      </c>
      <c r="AK135">
        <v>3.1454153364938398E-5</v>
      </c>
      <c r="AL135">
        <v>2.6199620461713699E-5</v>
      </c>
      <c r="AM135">
        <v>0</v>
      </c>
      <c r="AN135">
        <v>4.6457089702191102E-5</v>
      </c>
      <c r="AO135">
        <v>0</v>
      </c>
      <c r="AP135">
        <v>0</v>
      </c>
      <c r="AQ135">
        <v>1.3820189562106799E-3</v>
      </c>
      <c r="AR135">
        <v>0</v>
      </c>
      <c r="AS135">
        <v>2.3334903004181999E-5</v>
      </c>
      <c r="AT135">
        <v>0</v>
      </c>
      <c r="AU135">
        <v>2.3987997781468999E-5</v>
      </c>
      <c r="AV135">
        <v>1.63333022944132E-5</v>
      </c>
      <c r="AW135">
        <v>1.7614852057188299E-5</v>
      </c>
      <c r="AX135">
        <v>0</v>
      </c>
      <c r="AY135">
        <v>0</v>
      </c>
      <c r="AZ135">
        <v>0</v>
      </c>
      <c r="BA135">
        <v>9.4159902470607001E-6</v>
      </c>
      <c r="BB135">
        <v>8.4962640282885594E-5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1.62609157619076E-5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1.2896474388574099E-5</v>
      </c>
      <c r="BP135">
        <v>1.27177709800499E-5</v>
      </c>
      <c r="BQ135">
        <v>1.0909956023202901E-5</v>
      </c>
      <c r="BR135">
        <v>0</v>
      </c>
      <c r="BS135">
        <v>0</v>
      </c>
      <c r="BT135">
        <v>0</v>
      </c>
      <c r="BU135">
        <v>0</v>
      </c>
      <c r="BV135">
        <v>5.6402453999691797E-5</v>
      </c>
      <c r="BW135">
        <v>0</v>
      </c>
      <c r="BX135">
        <v>0</v>
      </c>
      <c r="BY135">
        <v>1.06313398162044E-5</v>
      </c>
      <c r="BZ135">
        <v>0</v>
      </c>
      <c r="CA135">
        <v>0</v>
      </c>
      <c r="CB135">
        <v>0</v>
      </c>
      <c r="CC135">
        <v>3.9078510322091403E-5</v>
      </c>
      <c r="CD135">
        <v>0</v>
      </c>
      <c r="CE135">
        <v>1.3924801084427999E-5</v>
      </c>
      <c r="CF135">
        <v>9.9906558728794607E-6</v>
      </c>
      <c r="CG135">
        <v>3.5246419024748799E-5</v>
      </c>
      <c r="CH135">
        <v>0</v>
      </c>
      <c r="CI135">
        <v>0</v>
      </c>
      <c r="CJ135">
        <f>MAX(E135:CI135)</f>
        <v>1.3820189562106799E-3</v>
      </c>
    </row>
    <row r="136" spans="1:88" x14ac:dyDescent="0.2">
      <c r="A136" t="s">
        <v>269</v>
      </c>
      <c r="B136" t="s">
        <v>270</v>
      </c>
      <c r="C136" t="s">
        <v>116</v>
      </c>
      <c r="D136" t="s">
        <v>89</v>
      </c>
      <c r="E136">
        <v>1.5856487882664199E-5</v>
      </c>
      <c r="F136">
        <v>0</v>
      </c>
      <c r="G136">
        <v>5.6102472302164202E-5</v>
      </c>
      <c r="H136">
        <v>7.59435684517221E-6</v>
      </c>
      <c r="I136">
        <v>0</v>
      </c>
      <c r="J136">
        <v>0</v>
      </c>
      <c r="K136">
        <v>1.27387554382304E-4</v>
      </c>
      <c r="L136">
        <v>0</v>
      </c>
      <c r="M136">
        <v>0</v>
      </c>
      <c r="N136">
        <v>0</v>
      </c>
      <c r="O136">
        <v>0</v>
      </c>
      <c r="P136">
        <v>1.22032076135517E-5</v>
      </c>
      <c r="Q136">
        <v>7.7583612920762794E-6</v>
      </c>
      <c r="R136">
        <v>0</v>
      </c>
      <c r="S136">
        <v>0</v>
      </c>
      <c r="T136">
        <v>3.4172126076220201E-5</v>
      </c>
      <c r="U136">
        <v>0</v>
      </c>
      <c r="V136">
        <v>0</v>
      </c>
      <c r="W136">
        <v>0</v>
      </c>
      <c r="X136">
        <v>0</v>
      </c>
      <c r="Y136">
        <v>2.5246257063914601E-5</v>
      </c>
      <c r="Z136">
        <v>0</v>
      </c>
      <c r="AA136">
        <v>3.3388353272676899E-5</v>
      </c>
      <c r="AB136">
        <v>1.3958797275102501E-5</v>
      </c>
      <c r="AC136">
        <v>5.79698264256537E-5</v>
      </c>
      <c r="AD136">
        <v>2.5955177306353899E-5</v>
      </c>
      <c r="AE136">
        <v>4.3622143291016602E-5</v>
      </c>
      <c r="AF136">
        <v>9.0669036354302793E-6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3.3309337886855298E-5</v>
      </c>
      <c r="AN136">
        <v>0</v>
      </c>
      <c r="AO136">
        <v>0</v>
      </c>
      <c r="AP136">
        <v>6.7263273609761204E-6</v>
      </c>
      <c r="AQ136">
        <v>0</v>
      </c>
      <c r="AR136">
        <v>0</v>
      </c>
      <c r="AS136">
        <v>7.28989041748788E-5</v>
      </c>
      <c r="AT136">
        <v>0</v>
      </c>
      <c r="AU136">
        <v>1.9916361476466802E-5</v>
      </c>
      <c r="AV136">
        <v>4.9033624849948302E-5</v>
      </c>
      <c r="AW136">
        <v>6.1044283412733095E-5</v>
      </c>
      <c r="AX136">
        <v>0</v>
      </c>
      <c r="AY136">
        <v>3.2435380723153603E-5</v>
      </c>
      <c r="AZ136">
        <v>5.3488571561125401E-5</v>
      </c>
      <c r="BA136">
        <v>7.6440760649888094E-5</v>
      </c>
      <c r="BB136">
        <v>0</v>
      </c>
      <c r="BC136">
        <v>4.6576945044159E-5</v>
      </c>
      <c r="BD136">
        <v>1.1576252739903699E-4</v>
      </c>
      <c r="BE136">
        <v>4.6331461500491902E-5</v>
      </c>
      <c r="BF136">
        <v>3.00770335321664E-5</v>
      </c>
      <c r="BG136">
        <v>0</v>
      </c>
      <c r="BH136">
        <v>0</v>
      </c>
      <c r="BI136">
        <v>4.67238907724395E-5</v>
      </c>
      <c r="BJ136">
        <v>0</v>
      </c>
      <c r="BK136">
        <v>1.64284654971615E-5</v>
      </c>
      <c r="BL136">
        <v>0</v>
      </c>
      <c r="BM136">
        <v>5.5764395666777801E-5</v>
      </c>
      <c r="BN136">
        <v>0</v>
      </c>
      <c r="BO136">
        <v>4.57627379423425E-5</v>
      </c>
      <c r="BP136">
        <v>3.3398964332840002E-5</v>
      </c>
      <c r="BQ136">
        <v>0</v>
      </c>
      <c r="BR136">
        <v>9.0301299465626804E-5</v>
      </c>
      <c r="BS136">
        <v>3.0900250489513699E-5</v>
      </c>
      <c r="BT136">
        <v>0</v>
      </c>
      <c r="BU136">
        <v>0</v>
      </c>
      <c r="BV136">
        <v>0</v>
      </c>
      <c r="BW136">
        <v>5.4052775624518297E-5</v>
      </c>
      <c r="BX136">
        <v>5.2673478542922E-5</v>
      </c>
      <c r="BY136">
        <v>0</v>
      </c>
      <c r="BZ136">
        <v>2.60196230149587E-5</v>
      </c>
      <c r="CA136">
        <v>5.9196768552787601E-5</v>
      </c>
      <c r="CB136">
        <v>2.46008436016434E-5</v>
      </c>
      <c r="CC136">
        <v>0</v>
      </c>
      <c r="CD136">
        <v>2.2029771878937999E-5</v>
      </c>
      <c r="CE136">
        <v>9.4678855622914497E-5</v>
      </c>
      <c r="CF136">
        <v>6.6369569402091098E-5</v>
      </c>
      <c r="CG136">
        <v>0</v>
      </c>
      <c r="CH136">
        <v>0</v>
      </c>
      <c r="CI136">
        <v>0</v>
      </c>
      <c r="CJ136">
        <f>MAX(E136:CI136)</f>
        <v>1.27387554382304E-4</v>
      </c>
    </row>
    <row r="137" spans="1:88" x14ac:dyDescent="0.2">
      <c r="A137" t="s">
        <v>271</v>
      </c>
      <c r="B137" t="s">
        <v>271</v>
      </c>
      <c r="C137" t="s">
        <v>187</v>
      </c>
      <c r="D137" t="s">
        <v>119</v>
      </c>
      <c r="E137">
        <v>0</v>
      </c>
      <c r="F137">
        <v>0</v>
      </c>
      <c r="G137">
        <v>1.86127695390516E-3</v>
      </c>
      <c r="H137">
        <v>0</v>
      </c>
      <c r="I137">
        <v>0</v>
      </c>
      <c r="J137">
        <v>0</v>
      </c>
      <c r="K137">
        <v>1.2873451465217601E-3</v>
      </c>
      <c r="L137">
        <v>0</v>
      </c>
      <c r="M137">
        <v>5.32377876951013E-4</v>
      </c>
      <c r="N137">
        <v>0</v>
      </c>
      <c r="O137">
        <v>0</v>
      </c>
      <c r="P137">
        <v>9.4986525070864995E-4</v>
      </c>
      <c r="Q137">
        <v>4.2023672185233902E-4</v>
      </c>
      <c r="R137">
        <v>0</v>
      </c>
      <c r="S137">
        <v>0</v>
      </c>
      <c r="T137">
        <v>0</v>
      </c>
      <c r="U137">
        <v>6.6618829834182603E-4</v>
      </c>
      <c r="V137">
        <v>7.2432921111241998E-4</v>
      </c>
      <c r="W137">
        <v>1.1024147110590501E-3</v>
      </c>
      <c r="X137">
        <v>4.8287642190205E-4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1.1605049574048101E-3</v>
      </c>
      <c r="AE137">
        <v>7.7417831069323897E-4</v>
      </c>
      <c r="AF137">
        <v>1.3076905941779E-3</v>
      </c>
      <c r="AG137">
        <v>7.0483749656768198E-4</v>
      </c>
      <c r="AH137">
        <v>6.85387216617337E-4</v>
      </c>
      <c r="AI137">
        <v>0</v>
      </c>
      <c r="AJ137">
        <v>9.52578993247125E-4</v>
      </c>
      <c r="AK137">
        <v>0</v>
      </c>
      <c r="AL137">
        <v>1.46610137143483E-3</v>
      </c>
      <c r="AM137">
        <v>0</v>
      </c>
      <c r="AN137">
        <v>8.24992499239535E-4</v>
      </c>
      <c r="AO137">
        <v>0</v>
      </c>
      <c r="AP137">
        <v>0</v>
      </c>
      <c r="AQ137">
        <v>0</v>
      </c>
      <c r="AR137">
        <v>0</v>
      </c>
      <c r="AS137">
        <v>2.2162002523908298E-3</v>
      </c>
      <c r="AT137">
        <v>0</v>
      </c>
      <c r="AU137">
        <v>2.50623043708793E-3</v>
      </c>
      <c r="AV137">
        <v>2.3160397026446501E-3</v>
      </c>
      <c r="AW137">
        <v>2.6840462803841502E-3</v>
      </c>
      <c r="AX137">
        <v>0</v>
      </c>
      <c r="AY137">
        <v>0</v>
      </c>
      <c r="AZ137">
        <v>1.57579239434367E-3</v>
      </c>
      <c r="BA137">
        <v>2.00483668245566E-3</v>
      </c>
      <c r="BB137">
        <v>0</v>
      </c>
      <c r="BC137">
        <v>1.87124218680799E-3</v>
      </c>
      <c r="BD137">
        <v>1.5552349236085E-3</v>
      </c>
      <c r="BE137">
        <v>1.2593139086325099E-3</v>
      </c>
      <c r="BF137">
        <v>0</v>
      </c>
      <c r="BG137">
        <v>4.2942171296150302E-4</v>
      </c>
      <c r="BH137">
        <v>7.3386301362635305E-4</v>
      </c>
      <c r="BI137">
        <v>0</v>
      </c>
      <c r="BJ137">
        <v>8.0113000901583197E-4</v>
      </c>
      <c r="BK137">
        <v>0</v>
      </c>
      <c r="BL137">
        <v>9.2352573072595405E-4</v>
      </c>
      <c r="BM137">
        <v>5.7908057904985E-4</v>
      </c>
      <c r="BN137">
        <v>7.6623502512953798E-4</v>
      </c>
      <c r="BO137">
        <v>1.5429505230394999E-3</v>
      </c>
      <c r="BP137">
        <v>8.7118020740919598E-4</v>
      </c>
      <c r="BQ137">
        <v>1.34709740646583E-3</v>
      </c>
      <c r="BR137">
        <v>7.2785019048724701E-4</v>
      </c>
      <c r="BS137">
        <v>1.0094457874332201E-3</v>
      </c>
      <c r="BT137">
        <v>1.6001658586206301E-3</v>
      </c>
      <c r="BU137">
        <v>0</v>
      </c>
      <c r="BV137">
        <v>0</v>
      </c>
      <c r="BW137">
        <v>4.8344046614738899E-4</v>
      </c>
      <c r="BX137">
        <v>8.3857517210953402E-4</v>
      </c>
      <c r="BY137">
        <v>5.7602455885590303E-4</v>
      </c>
      <c r="BZ137">
        <v>7.6914106628972999E-4</v>
      </c>
      <c r="CA137">
        <v>1.5497762459498201E-3</v>
      </c>
      <c r="CB137">
        <v>1.6176032097418101E-3</v>
      </c>
      <c r="CC137">
        <v>1.05436747404574E-3</v>
      </c>
      <c r="CD137">
        <v>0</v>
      </c>
      <c r="CE137">
        <v>1.2991730410223401E-3</v>
      </c>
      <c r="CF137">
        <v>1.58931506479291E-3</v>
      </c>
      <c r="CG137">
        <v>0</v>
      </c>
      <c r="CH137">
        <v>1.3800060806025E-3</v>
      </c>
      <c r="CI137">
        <v>1.02371484244521E-3</v>
      </c>
      <c r="CJ137">
        <f>MAX(E137:CI137)</f>
        <v>2.6840462803841502E-3</v>
      </c>
    </row>
    <row r="138" spans="1:88" x14ac:dyDescent="0.2">
      <c r="A138" t="s">
        <v>272</v>
      </c>
      <c r="B138" t="s">
        <v>273</v>
      </c>
      <c r="C138" t="s">
        <v>118</v>
      </c>
      <c r="D138" t="s">
        <v>274</v>
      </c>
      <c r="E138">
        <v>5.2145519682933201E-4</v>
      </c>
      <c r="F138">
        <v>0</v>
      </c>
      <c r="G138">
        <v>1.4542196208383201E-3</v>
      </c>
      <c r="H138">
        <v>0</v>
      </c>
      <c r="I138">
        <v>2.5528541303470101E-4</v>
      </c>
      <c r="J138">
        <v>4.2599745054452401E-4</v>
      </c>
      <c r="K138">
        <v>1.80671645503149E-3</v>
      </c>
      <c r="L138">
        <v>3.79745818142585E-4</v>
      </c>
      <c r="M138">
        <v>1.8921475511037299E-4</v>
      </c>
      <c r="N138">
        <v>1.06038115283536E-4</v>
      </c>
      <c r="O138">
        <v>1.5619998937507101E-4</v>
      </c>
      <c r="P138">
        <v>4.6626412335948499E-4</v>
      </c>
      <c r="Q138">
        <v>2.09304709320074E-4</v>
      </c>
      <c r="R138">
        <v>6.3972894333419797E-4</v>
      </c>
      <c r="S138">
        <v>0</v>
      </c>
      <c r="T138">
        <v>4.1820671321533002E-4</v>
      </c>
      <c r="U138">
        <v>0</v>
      </c>
      <c r="V138">
        <v>1.38220035444051E-3</v>
      </c>
      <c r="W138">
        <v>0</v>
      </c>
      <c r="X138">
        <v>1.3423445380101101E-4</v>
      </c>
      <c r="Y138">
        <v>6.5761089532369505E-4</v>
      </c>
      <c r="Z138">
        <v>7.0152959973848099E-4</v>
      </c>
      <c r="AA138">
        <v>1.76169612876392E-3</v>
      </c>
      <c r="AB138">
        <v>4.0718333959346498E-4</v>
      </c>
      <c r="AC138">
        <v>2.3029101822091202E-3</v>
      </c>
      <c r="AD138">
        <v>1.0648415771666901E-3</v>
      </c>
      <c r="AE138">
        <v>2.36383413610247E-3</v>
      </c>
      <c r="AF138">
        <v>1.9159624795437101E-3</v>
      </c>
      <c r="AG138">
        <v>9.7358079870165802E-4</v>
      </c>
      <c r="AH138">
        <v>5.4202585103977101E-4</v>
      </c>
      <c r="AI138">
        <v>9.3242948887971701E-4</v>
      </c>
      <c r="AJ138">
        <v>5.9604081516684499E-4</v>
      </c>
      <c r="AK138">
        <v>1.2486594261128499E-3</v>
      </c>
      <c r="AL138">
        <v>8.4747325226584001E-4</v>
      </c>
      <c r="AM138">
        <v>0</v>
      </c>
      <c r="AN138">
        <v>9.8013297368804695E-4</v>
      </c>
      <c r="AO138">
        <v>3.13138163365763E-4</v>
      </c>
      <c r="AP138">
        <v>3.8875411579808602E-4</v>
      </c>
      <c r="AQ138">
        <v>0</v>
      </c>
      <c r="AR138">
        <v>5.1219460536944402E-4</v>
      </c>
      <c r="AS138">
        <v>1.61954865590892E-3</v>
      </c>
      <c r="AT138">
        <v>0</v>
      </c>
      <c r="AU138">
        <v>0</v>
      </c>
      <c r="AV138">
        <v>1.6939126058987701E-3</v>
      </c>
      <c r="AW138">
        <v>2.7106160154999198E-3</v>
      </c>
      <c r="AX138">
        <v>1.7753541513396401E-3</v>
      </c>
      <c r="AY138">
        <v>1.17187961577167E-3</v>
      </c>
      <c r="AZ138">
        <v>2.09647167927068E-3</v>
      </c>
      <c r="BA138">
        <v>4.4842518914853203E-3</v>
      </c>
      <c r="BB138">
        <v>1.4930419146979999E-3</v>
      </c>
      <c r="BC138">
        <v>9.32262038054562E-4</v>
      </c>
      <c r="BD138">
        <v>2.4612118646255001E-3</v>
      </c>
      <c r="BE138">
        <v>1.22866362208631E-3</v>
      </c>
      <c r="BF138">
        <v>7.9273493952864999E-4</v>
      </c>
      <c r="BG138">
        <v>0</v>
      </c>
      <c r="BH138">
        <v>3.27882320477912E-3</v>
      </c>
      <c r="BI138">
        <v>1.27243029331306E-3</v>
      </c>
      <c r="BJ138">
        <v>8.7497370166243597E-4</v>
      </c>
      <c r="BK138">
        <v>7.8339897683832099E-4</v>
      </c>
      <c r="BL138">
        <v>1.3600848405108999E-3</v>
      </c>
      <c r="BM138">
        <v>1.38076891090395E-3</v>
      </c>
      <c r="BN138">
        <v>1.47896875806932E-3</v>
      </c>
      <c r="BO138">
        <v>1.8651252431671501E-3</v>
      </c>
      <c r="BP138">
        <v>1.0637975848433901E-3</v>
      </c>
      <c r="BQ138">
        <v>2.22615807771756E-3</v>
      </c>
      <c r="BR138">
        <v>3.9218140675315498E-3</v>
      </c>
      <c r="BS138">
        <v>1.1840771491853201E-3</v>
      </c>
      <c r="BT138">
        <v>1.87124218680799E-3</v>
      </c>
      <c r="BU138">
        <v>5.2968539705930103E-4</v>
      </c>
      <c r="BV138">
        <v>3.02708070614103E-4</v>
      </c>
      <c r="BW138">
        <v>9.1827127690144602E-4</v>
      </c>
      <c r="BX138">
        <v>1.13990327129859E-3</v>
      </c>
      <c r="BY138">
        <v>0</v>
      </c>
      <c r="BZ138">
        <v>1.0915710272536201E-3</v>
      </c>
      <c r="CA138">
        <v>8.9390630396484004E-4</v>
      </c>
      <c r="CB138">
        <v>1.1591909984026299E-3</v>
      </c>
      <c r="CC138">
        <v>1.3952177733542999E-3</v>
      </c>
      <c r="CD138">
        <v>5.6969708856250399E-4</v>
      </c>
      <c r="CE138">
        <v>0</v>
      </c>
      <c r="CF138">
        <v>2.4233213022538001E-3</v>
      </c>
      <c r="CG138">
        <v>2.9872323239397902E-3</v>
      </c>
      <c r="CH138">
        <v>9.1900103394455801E-4</v>
      </c>
      <c r="CI138">
        <v>0</v>
      </c>
      <c r="CJ138">
        <f>MAX(E138:CI138)</f>
        <v>4.4842518914853203E-3</v>
      </c>
    </row>
    <row r="139" spans="1:88" x14ac:dyDescent="0.2">
      <c r="A139" t="s">
        <v>275</v>
      </c>
      <c r="B139" t="s">
        <v>275</v>
      </c>
      <c r="C139" t="s">
        <v>254</v>
      </c>
      <c r="D139" t="s">
        <v>255</v>
      </c>
      <c r="E139">
        <v>2.4203490379552E-4</v>
      </c>
      <c r="F139">
        <v>2.74975499736344E-4</v>
      </c>
      <c r="G139">
        <v>0</v>
      </c>
      <c r="H139">
        <v>4.3193261636357698E-4</v>
      </c>
      <c r="I139">
        <v>1.4511523183633501E-4</v>
      </c>
      <c r="J139">
        <v>1.24669724569543E-4</v>
      </c>
      <c r="K139">
        <v>4.72355525507492E-4</v>
      </c>
      <c r="L139">
        <v>0</v>
      </c>
      <c r="M139">
        <v>0</v>
      </c>
      <c r="N139">
        <v>1.3566911749608699E-4</v>
      </c>
      <c r="O139">
        <v>1.5866421961446101E-4</v>
      </c>
      <c r="P139">
        <v>2.6641213319412402E-4</v>
      </c>
      <c r="Q139">
        <v>9.0742763242854599E-5</v>
      </c>
      <c r="R139">
        <v>2.6343289221855801E-4</v>
      </c>
      <c r="S139">
        <v>2.07184375195216E-4</v>
      </c>
      <c r="T139">
        <v>1.7542561187538599E-4</v>
      </c>
      <c r="U139">
        <v>2.82222737428983E-4</v>
      </c>
      <c r="V139">
        <v>2.59953099484507E-4</v>
      </c>
      <c r="W139">
        <v>4.7471067721473903E-4</v>
      </c>
      <c r="X139">
        <v>2.0075436642668799E-4</v>
      </c>
      <c r="Y139">
        <v>2.83608341378712E-4</v>
      </c>
      <c r="Z139">
        <v>4.7087322922701401E-4</v>
      </c>
      <c r="AA139">
        <v>2.45395164091322E-4</v>
      </c>
      <c r="AB139">
        <v>0</v>
      </c>
      <c r="AC139">
        <v>0</v>
      </c>
      <c r="AD139">
        <v>4.3467733925978098E-4</v>
      </c>
      <c r="AE139">
        <v>4.4501023536975599E-4</v>
      </c>
      <c r="AF139">
        <v>4.3328334950142299E-4</v>
      </c>
      <c r="AG139">
        <v>2.6611049327568198E-4</v>
      </c>
      <c r="AH139">
        <v>0</v>
      </c>
      <c r="AI139">
        <v>4.01233327967978E-4</v>
      </c>
      <c r="AJ139">
        <v>2.4465550935037002E-4</v>
      </c>
      <c r="AK139">
        <v>3.54005492267285E-4</v>
      </c>
      <c r="AL139">
        <v>3.0012211616151497E-4</v>
      </c>
      <c r="AM139">
        <v>3.5668841173570301E-4</v>
      </c>
      <c r="AN139">
        <v>9.3290624433138504E-4</v>
      </c>
      <c r="AO139">
        <v>1.05692945210515E-4</v>
      </c>
      <c r="AP139">
        <v>2.3905068912556001E-4</v>
      </c>
      <c r="AQ139">
        <v>1.1627330039367599E-2</v>
      </c>
      <c r="AR139">
        <v>3.2468258874005201E-4</v>
      </c>
      <c r="AS139">
        <v>3.4978807548600202E-4</v>
      </c>
      <c r="AT139">
        <v>2.3834003566699E-4</v>
      </c>
      <c r="AU139">
        <v>6.1967788875282503E-4</v>
      </c>
      <c r="AV139">
        <v>2.4542398298900002E-4</v>
      </c>
      <c r="AW139">
        <v>0</v>
      </c>
      <c r="AX139">
        <v>0</v>
      </c>
      <c r="AY139">
        <v>4.5073678225233E-4</v>
      </c>
      <c r="AZ139">
        <v>3.0738806423726901E-4</v>
      </c>
      <c r="BA139">
        <v>8.6849435503034901E-4</v>
      </c>
      <c r="BB139">
        <v>4.4582867686691397E-4</v>
      </c>
      <c r="BC139">
        <v>5.0546024088554003E-4</v>
      </c>
      <c r="BD139">
        <v>5.93317283988255E-4</v>
      </c>
      <c r="BE139">
        <v>4.3307388907291503E-4</v>
      </c>
      <c r="BF139">
        <v>0</v>
      </c>
      <c r="BG139">
        <v>8.4679639409643105E-5</v>
      </c>
      <c r="BH139">
        <v>8.6083120159775905E-4</v>
      </c>
      <c r="BI139">
        <v>3.2815951412070902E-4</v>
      </c>
      <c r="BJ139">
        <v>0</v>
      </c>
      <c r="BK139">
        <v>2.3565681298463E-4</v>
      </c>
      <c r="BL139">
        <v>0</v>
      </c>
      <c r="BM139">
        <v>3.80339122347982E-4</v>
      </c>
      <c r="BN139">
        <v>2.5528188616074499E-4</v>
      </c>
      <c r="BO139">
        <v>4.8572672578849898E-4</v>
      </c>
      <c r="BP139">
        <v>4.3700157276959002E-4</v>
      </c>
      <c r="BQ139">
        <v>2.84780337251475E-4</v>
      </c>
      <c r="BR139">
        <v>0</v>
      </c>
      <c r="BS139">
        <v>0</v>
      </c>
      <c r="BT139">
        <v>9.7037812997569702E-4</v>
      </c>
      <c r="BU139">
        <v>0</v>
      </c>
      <c r="BV139">
        <v>3.9792387763422501E-4</v>
      </c>
      <c r="BW139">
        <v>3.6694502165488099E-4</v>
      </c>
      <c r="BX139">
        <v>0</v>
      </c>
      <c r="BY139">
        <v>2.5459507604705899E-4</v>
      </c>
      <c r="BZ139">
        <v>5.0870030731905698E-4</v>
      </c>
      <c r="CA139">
        <v>5.1984754818332896E-4</v>
      </c>
      <c r="CB139">
        <v>0</v>
      </c>
      <c r="CC139">
        <v>5.3071822295996701E-4</v>
      </c>
      <c r="CD139">
        <v>2.9230416257624501E-4</v>
      </c>
      <c r="CE139">
        <v>1.9926361273538999E-4</v>
      </c>
      <c r="CF139">
        <v>4.8969537242974704E-4</v>
      </c>
      <c r="CG139">
        <v>4.5985720991332802E-4</v>
      </c>
      <c r="CH139">
        <v>4.6051205142205899E-4</v>
      </c>
      <c r="CI139">
        <v>6.5627218832291603E-4</v>
      </c>
      <c r="CJ139">
        <f>MAX(E139:CI139)</f>
        <v>1.1627330039367599E-2</v>
      </c>
    </row>
    <row r="140" spans="1:88" x14ac:dyDescent="0.2">
      <c r="A140" t="s">
        <v>276</v>
      </c>
      <c r="B140" t="s">
        <v>276</v>
      </c>
      <c r="C140" t="s">
        <v>118</v>
      </c>
      <c r="D140" t="s">
        <v>119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8.2658781706207398E-6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8.8655360475599305E-5</v>
      </c>
      <c r="W140">
        <v>0</v>
      </c>
      <c r="X140">
        <v>0</v>
      </c>
      <c r="Y140">
        <v>0</v>
      </c>
      <c r="Z140">
        <v>0</v>
      </c>
      <c r="AA140">
        <v>9.0864658771748699E-6</v>
      </c>
      <c r="AB140">
        <v>0</v>
      </c>
      <c r="AC140">
        <v>0</v>
      </c>
      <c r="AD140">
        <v>0</v>
      </c>
      <c r="AE140">
        <v>0</v>
      </c>
      <c r="AF140">
        <v>1.00427580545927E-5</v>
      </c>
      <c r="AG140">
        <v>0</v>
      </c>
      <c r="AH140">
        <v>0</v>
      </c>
      <c r="AI140">
        <v>0</v>
      </c>
      <c r="AJ140">
        <v>3.7303879536168301E-5</v>
      </c>
      <c r="AK140">
        <v>0</v>
      </c>
      <c r="AL140">
        <v>0</v>
      </c>
      <c r="AM140">
        <v>6.6353983431176398E-5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1.2653189142138599E-5</v>
      </c>
      <c r="AT140">
        <v>3.40540680859038E-5</v>
      </c>
      <c r="AU140">
        <v>0</v>
      </c>
      <c r="AV140">
        <v>0</v>
      </c>
      <c r="AW140">
        <v>0</v>
      </c>
      <c r="AX140">
        <v>2.46501746124005E-5</v>
      </c>
      <c r="AY140">
        <v>0</v>
      </c>
      <c r="AZ140">
        <v>0</v>
      </c>
      <c r="BA140">
        <v>0</v>
      </c>
      <c r="BB140">
        <v>1.79371731308183E-5</v>
      </c>
      <c r="BC140">
        <v>0</v>
      </c>
      <c r="BD140">
        <v>6.6545393883057105E-5</v>
      </c>
      <c r="BE140">
        <v>0</v>
      </c>
      <c r="BF140">
        <v>1.7217972109844802E-5</v>
      </c>
      <c r="BG140">
        <v>0</v>
      </c>
      <c r="BH140">
        <v>1.70501419877713E-5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1.14465866445513E-5</v>
      </c>
      <c r="BZ140">
        <v>0</v>
      </c>
      <c r="CA140">
        <v>0</v>
      </c>
      <c r="CB140">
        <v>0</v>
      </c>
      <c r="CC140">
        <v>1.0782662204605E-5</v>
      </c>
      <c r="CD140">
        <v>2.8308444089932699E-5</v>
      </c>
      <c r="CE140">
        <v>0</v>
      </c>
      <c r="CF140">
        <v>0</v>
      </c>
      <c r="CG140">
        <v>9.58998659259363E-5</v>
      </c>
      <c r="CH140">
        <v>1.53179271589342E-4</v>
      </c>
      <c r="CI140">
        <v>1.31812622289022E-5</v>
      </c>
      <c r="CJ140">
        <f>MAX(E140:CI140)</f>
        <v>1.53179271589342E-4</v>
      </c>
    </row>
    <row r="141" spans="1:88" x14ac:dyDescent="0.2">
      <c r="A141" t="s">
        <v>277</v>
      </c>
      <c r="B141" t="s">
        <v>277</v>
      </c>
      <c r="C141" t="s">
        <v>116</v>
      </c>
      <c r="D141" t="s">
        <v>89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1.38470098137426E-5</v>
      </c>
      <c r="O141">
        <v>0</v>
      </c>
      <c r="P141">
        <v>9.2310265484356099E-6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1.0849082206982401E-5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8.4374458767199694E-6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6.4393347120810494E-5</v>
      </c>
      <c r="BD141">
        <v>2.8982510374795701E-4</v>
      </c>
      <c r="BE141">
        <v>0</v>
      </c>
      <c r="BF141">
        <v>0</v>
      </c>
      <c r="BG141">
        <v>0</v>
      </c>
      <c r="BH141">
        <v>0</v>
      </c>
      <c r="BI141">
        <v>1.1760939069308099E-5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9.07210357793539E-6</v>
      </c>
      <c r="CD141">
        <v>0</v>
      </c>
      <c r="CE141">
        <v>0</v>
      </c>
      <c r="CF141">
        <v>0</v>
      </c>
      <c r="CG141">
        <v>5.8038743275185698E-5</v>
      </c>
      <c r="CH141">
        <v>0</v>
      </c>
      <c r="CI141">
        <v>0</v>
      </c>
      <c r="CJ141">
        <f>MAX(E141:CI141)</f>
        <v>2.8982510374795701E-4</v>
      </c>
    </row>
    <row r="142" spans="1:88" x14ac:dyDescent="0.2">
      <c r="A142" t="s">
        <v>278</v>
      </c>
      <c r="B142" t="s">
        <v>278</v>
      </c>
      <c r="C142" t="s">
        <v>116</v>
      </c>
      <c r="D142" t="s">
        <v>89</v>
      </c>
      <c r="E142">
        <v>1.5401924849133E-3</v>
      </c>
      <c r="F142">
        <v>0</v>
      </c>
      <c r="G142">
        <v>3.6776889933340701E-3</v>
      </c>
      <c r="H142">
        <v>0</v>
      </c>
      <c r="I142">
        <v>1.0457936488199001E-3</v>
      </c>
      <c r="J142">
        <v>1.01964266640726E-3</v>
      </c>
      <c r="K142">
        <v>4.2431657806482597E-3</v>
      </c>
      <c r="L142">
        <v>1.3522438034542499E-3</v>
      </c>
      <c r="M142">
        <v>9.900953024783801E-4</v>
      </c>
      <c r="N142">
        <v>7.1454403813757405E-4</v>
      </c>
      <c r="O142">
        <v>8.2165972530555203E-4</v>
      </c>
      <c r="P142">
        <v>0</v>
      </c>
      <c r="Q142">
        <v>0</v>
      </c>
      <c r="R142">
        <v>0</v>
      </c>
      <c r="S142">
        <v>1.3143287261448799E-3</v>
      </c>
      <c r="T142">
        <v>1.18880603191341E-3</v>
      </c>
      <c r="U142">
        <v>1.7220985457789E-3</v>
      </c>
      <c r="V142">
        <v>1.06445915127377E-3</v>
      </c>
      <c r="W142">
        <v>0</v>
      </c>
      <c r="X142">
        <v>8.1199994532780496E-4</v>
      </c>
      <c r="Y142">
        <v>2.8553016743376601E-3</v>
      </c>
      <c r="Z142">
        <v>1.6511898107960999E-3</v>
      </c>
      <c r="AA142">
        <v>3.7056636722215901E-3</v>
      </c>
      <c r="AB142">
        <v>1.0171663866133699E-3</v>
      </c>
      <c r="AC142">
        <v>3.9910116911948202E-3</v>
      </c>
      <c r="AD142">
        <v>2.24802429262386E-3</v>
      </c>
      <c r="AE142">
        <v>3.4805670141700102E-3</v>
      </c>
      <c r="AF142">
        <v>5.9571015016045004E-3</v>
      </c>
      <c r="AG142">
        <v>2.80345119557225E-3</v>
      </c>
      <c r="AH142">
        <v>2.0730701580984399E-3</v>
      </c>
      <c r="AI142">
        <v>0</v>
      </c>
      <c r="AJ142">
        <v>2.6079604440705298E-3</v>
      </c>
      <c r="AK142">
        <v>3.3545865394186899E-3</v>
      </c>
      <c r="AL142">
        <v>2.3736353434206199E-3</v>
      </c>
      <c r="AM142">
        <v>2.7014193105162399E-3</v>
      </c>
      <c r="AN142">
        <v>3.9215431675699202E-3</v>
      </c>
      <c r="AO142">
        <v>0</v>
      </c>
      <c r="AP142">
        <v>1.15609627002154E-3</v>
      </c>
      <c r="AQ142">
        <v>1.2915642041780801E-2</v>
      </c>
      <c r="AR142">
        <v>1.6676849135535299E-3</v>
      </c>
      <c r="AS142">
        <v>3.5800822138580901E-3</v>
      </c>
      <c r="AT142">
        <v>0</v>
      </c>
      <c r="AU142">
        <v>3.4254923344939998E-3</v>
      </c>
      <c r="AV142">
        <v>3.8843915437499102E-3</v>
      </c>
      <c r="AW142">
        <v>6.0366778478655901E-3</v>
      </c>
      <c r="AX142">
        <v>4.3638217243264898E-3</v>
      </c>
      <c r="AY142">
        <v>3.2717416296732501E-3</v>
      </c>
      <c r="AZ142">
        <v>5.3346631291689801E-3</v>
      </c>
      <c r="BA142">
        <v>5.7597548616051602E-3</v>
      </c>
      <c r="BB142">
        <v>0</v>
      </c>
      <c r="BC142">
        <v>0</v>
      </c>
      <c r="BD142">
        <v>5.1158523300117E-3</v>
      </c>
      <c r="BE142">
        <v>2.8238979621393002E-3</v>
      </c>
      <c r="BF142">
        <v>2.5954878488052302E-3</v>
      </c>
      <c r="BG142">
        <v>3.1618772077889799E-4</v>
      </c>
      <c r="BH142">
        <v>5.5885610555394399E-3</v>
      </c>
      <c r="BI142">
        <v>3.39463433831887E-3</v>
      </c>
      <c r="BJ142">
        <v>3.3257224338385598E-3</v>
      </c>
      <c r="BK142">
        <v>2.27443746222954E-3</v>
      </c>
      <c r="BL142">
        <v>3.0441216231047201E-3</v>
      </c>
      <c r="BM142">
        <v>2.8746964985822102E-3</v>
      </c>
      <c r="BN142">
        <v>2.6823781328422398E-3</v>
      </c>
      <c r="BO142">
        <v>3.4369403912961499E-3</v>
      </c>
      <c r="BP142">
        <v>2.4078032704078602E-3</v>
      </c>
      <c r="BQ142">
        <v>2.98580884338714E-3</v>
      </c>
      <c r="BR142">
        <v>6.3530606297842298E-3</v>
      </c>
      <c r="BS142">
        <v>3.5208781878214002E-3</v>
      </c>
      <c r="BT142">
        <v>1.94491219747677E-3</v>
      </c>
      <c r="BU142">
        <v>1.3105300994320399E-3</v>
      </c>
      <c r="BV142">
        <v>6.14498744636013E-4</v>
      </c>
      <c r="BW142">
        <v>2.5445031918912898E-3</v>
      </c>
      <c r="BX142">
        <v>1.9595439112922199E-3</v>
      </c>
      <c r="BY142">
        <v>5.1950651702785703E-4</v>
      </c>
      <c r="BZ142">
        <v>0</v>
      </c>
      <c r="CA142">
        <v>2.0702652860927601E-3</v>
      </c>
      <c r="CB142">
        <v>2.6406083971028602E-3</v>
      </c>
      <c r="CC142">
        <v>4.1528667840052998E-3</v>
      </c>
      <c r="CD142">
        <v>1.7645216851265499E-3</v>
      </c>
      <c r="CE142">
        <v>3.1155376220658002E-3</v>
      </c>
      <c r="CF142">
        <v>4.2322761787582704E-3</v>
      </c>
      <c r="CG142">
        <v>6.0841512229170801E-3</v>
      </c>
      <c r="CH142">
        <v>3.6477074485240699E-3</v>
      </c>
      <c r="CI142">
        <v>2.58473485916705E-3</v>
      </c>
      <c r="CJ142">
        <f>MAX(E142:CI142)</f>
        <v>1.2915642041780801E-2</v>
      </c>
    </row>
    <row r="143" spans="1:88" x14ac:dyDescent="0.2">
      <c r="A143" t="s">
        <v>279</v>
      </c>
      <c r="B143" t="s">
        <v>280</v>
      </c>
      <c r="C143" t="s">
        <v>116</v>
      </c>
      <c r="D143" t="s">
        <v>89</v>
      </c>
      <c r="E143">
        <v>0</v>
      </c>
      <c r="F143">
        <v>0</v>
      </c>
      <c r="G143">
        <v>5.4202460298056404E-6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5.2598940953948297E-5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6.9978076374276498E-6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f>MAX(E143:CI143)</f>
        <v>5.2598940953948297E-5</v>
      </c>
    </row>
    <row r="144" spans="1:88" x14ac:dyDescent="0.2">
      <c r="A144" t="s">
        <v>281</v>
      </c>
      <c r="B144" t="s">
        <v>281</v>
      </c>
      <c r="C144" t="s">
        <v>116</v>
      </c>
      <c r="D144" t="s">
        <v>255</v>
      </c>
      <c r="E144">
        <v>5.2077604613251097E-5</v>
      </c>
      <c r="F144">
        <v>1.8222501724482801E-4</v>
      </c>
      <c r="G144">
        <v>6.3077286166758997E-4</v>
      </c>
      <c r="H144">
        <v>9.7527928529489804E-5</v>
      </c>
      <c r="I144">
        <v>0</v>
      </c>
      <c r="J144">
        <v>0</v>
      </c>
      <c r="K144">
        <v>4.1329009784468501E-4</v>
      </c>
      <c r="L144">
        <v>5.7187090293776802E-5</v>
      </c>
      <c r="M144">
        <v>1.25157534697112E-5</v>
      </c>
      <c r="N144">
        <v>0</v>
      </c>
      <c r="O144">
        <v>0</v>
      </c>
      <c r="P144">
        <v>1.1087100902155601E-4</v>
      </c>
      <c r="Q144">
        <v>8.9765406104036604E-6</v>
      </c>
      <c r="R144">
        <v>7.0685282819915997E-5</v>
      </c>
      <c r="S144">
        <v>2.1682831756374201E-5</v>
      </c>
      <c r="T144">
        <v>0</v>
      </c>
      <c r="U144">
        <v>1.6059832079013401E-4</v>
      </c>
      <c r="V144">
        <v>7.7328217619196794E-5</v>
      </c>
      <c r="W144">
        <v>4.3853574657528602E-5</v>
      </c>
      <c r="X144">
        <v>9.4451748057603194E-6</v>
      </c>
      <c r="Y144">
        <v>0</v>
      </c>
      <c r="Z144">
        <v>8.9092470105812697E-5</v>
      </c>
      <c r="AA144">
        <v>2.5500165553951301E-4</v>
      </c>
      <c r="AB144">
        <v>1.8573425152243401E-5</v>
      </c>
      <c r="AC144">
        <v>4.5764845442833199E-4</v>
      </c>
      <c r="AD144">
        <v>1.70677785749333E-4</v>
      </c>
      <c r="AE144">
        <v>2.6357122800413401E-4</v>
      </c>
      <c r="AF144">
        <v>2.68822737916844E-4</v>
      </c>
      <c r="AG144">
        <v>6.2514390317213803E-5</v>
      </c>
      <c r="AH144">
        <v>5.6133871999938802E-5</v>
      </c>
      <c r="AI144">
        <v>4.1707676851967803E-5</v>
      </c>
      <c r="AJ144">
        <v>5.6159081997502899E-5</v>
      </c>
      <c r="AK144">
        <v>1.11393025551497E-4</v>
      </c>
      <c r="AL144">
        <v>6.9530763773554202E-5</v>
      </c>
      <c r="AM144">
        <v>0</v>
      </c>
      <c r="AN144">
        <v>1.21963534017447E-4</v>
      </c>
      <c r="AO144">
        <v>0</v>
      </c>
      <c r="AP144">
        <v>3.85441967917983E-5</v>
      </c>
      <c r="AQ144">
        <v>0</v>
      </c>
      <c r="AR144">
        <v>1.5324206653573801E-5</v>
      </c>
      <c r="AS144">
        <v>2.5039001143677901E-4</v>
      </c>
      <c r="AT144">
        <v>0</v>
      </c>
      <c r="AU144">
        <v>4.9790214814946897E-4</v>
      </c>
      <c r="AV144">
        <v>6.6562710722623702E-4</v>
      </c>
      <c r="AW144">
        <v>7.8326370030892595E-4</v>
      </c>
      <c r="AX144">
        <v>5.3973552008707904E-4</v>
      </c>
      <c r="AY144">
        <v>4.17015310344205E-4</v>
      </c>
      <c r="AZ144">
        <v>7.3389343033332095E-4</v>
      </c>
      <c r="BA144">
        <v>1.44004478916071E-3</v>
      </c>
      <c r="BB144">
        <v>7.1560110085687402E-4</v>
      </c>
      <c r="BC144">
        <v>5.7075667596402895E-4</v>
      </c>
      <c r="BD144">
        <v>8.6539224687938302E-4</v>
      </c>
      <c r="BE144">
        <v>2.93064355653613E-4</v>
      </c>
      <c r="BF144">
        <v>2.8130405981361903E-4</v>
      </c>
      <c r="BG144">
        <v>0</v>
      </c>
      <c r="BH144">
        <v>7.7710910964887896E-4</v>
      </c>
      <c r="BI144">
        <v>2.8527847220861003E-4</v>
      </c>
      <c r="BJ144">
        <v>2.9004340838042098E-4</v>
      </c>
      <c r="BK144">
        <v>1.8478937645364599E-4</v>
      </c>
      <c r="BL144">
        <v>4.9451560408486704E-4</v>
      </c>
      <c r="BM144">
        <v>4.4231635698465299E-4</v>
      </c>
      <c r="BN144">
        <v>4.43139027222501E-4</v>
      </c>
      <c r="BO144">
        <v>2.34160695844252E-4</v>
      </c>
      <c r="BP144">
        <v>2.20137484750061E-4</v>
      </c>
      <c r="BQ144">
        <v>1.93524074863102E-4</v>
      </c>
      <c r="BR144">
        <v>7.7027357639543304E-4</v>
      </c>
      <c r="BS144">
        <v>2.1759905251756599E-4</v>
      </c>
      <c r="BT144">
        <v>1.9308876286713099E-4</v>
      </c>
      <c r="BU144">
        <v>7.8655120366771195E-5</v>
      </c>
      <c r="BV144">
        <v>0</v>
      </c>
      <c r="BW144">
        <v>1.27643880881134E-4</v>
      </c>
      <c r="BX144">
        <v>3.1440395460355001E-4</v>
      </c>
      <c r="BY144">
        <v>0</v>
      </c>
      <c r="BZ144">
        <v>1.9218522654516199E-4</v>
      </c>
      <c r="CA144">
        <v>3.09627837795413E-4</v>
      </c>
      <c r="CB144">
        <v>2.47164446732801E-4</v>
      </c>
      <c r="CC144">
        <v>6.1631821032675496E-4</v>
      </c>
      <c r="CD144">
        <v>0</v>
      </c>
      <c r="CE144">
        <v>3.7006072897655497E-4</v>
      </c>
      <c r="CF144">
        <v>4.1868364845333101E-4</v>
      </c>
      <c r="CG144">
        <v>8.4977705413953998E-4</v>
      </c>
      <c r="CH144">
        <v>1.9166022780074701E-4</v>
      </c>
      <c r="CI144">
        <v>1.35370489710165E-4</v>
      </c>
      <c r="CJ144">
        <f>MAX(E144:CI144)</f>
        <v>1.44004478916071E-3</v>
      </c>
    </row>
    <row r="145" spans="1:88" x14ac:dyDescent="0.2">
      <c r="A145" t="s">
        <v>282</v>
      </c>
      <c r="B145" t="s">
        <v>282</v>
      </c>
      <c r="C145" t="s">
        <v>187</v>
      </c>
      <c r="D145" t="s">
        <v>255</v>
      </c>
      <c r="E145">
        <v>0</v>
      </c>
      <c r="F145">
        <v>5.2614445771490697E-4</v>
      </c>
      <c r="G145">
        <v>1.5199349448988901E-4</v>
      </c>
      <c r="H145">
        <v>3.4482202661947897E-4</v>
      </c>
      <c r="I145">
        <v>1.0764057276074101E-5</v>
      </c>
      <c r="J145">
        <v>1.6891608222127099E-4</v>
      </c>
      <c r="K145">
        <v>1.58259212375519E-4</v>
      </c>
      <c r="L145">
        <v>0</v>
      </c>
      <c r="M145">
        <v>0</v>
      </c>
      <c r="N145">
        <v>1.7316136475272999E-5</v>
      </c>
      <c r="O145">
        <v>0</v>
      </c>
      <c r="P145">
        <v>2.5793899299530099E-4</v>
      </c>
      <c r="Q145">
        <v>0</v>
      </c>
      <c r="R145">
        <v>2.3775299691709199E-4</v>
      </c>
      <c r="S145">
        <v>0</v>
      </c>
      <c r="T145">
        <v>0</v>
      </c>
      <c r="U145">
        <v>3.3724459656340799E-5</v>
      </c>
      <c r="V145">
        <v>1.00582169761688E-4</v>
      </c>
      <c r="W145">
        <v>1.2670302976449101E-4</v>
      </c>
      <c r="X145">
        <v>1.25366643947753E-4</v>
      </c>
      <c r="Y145">
        <v>1.2976154266779299E-4</v>
      </c>
      <c r="Z145">
        <v>0</v>
      </c>
      <c r="AA145">
        <v>0</v>
      </c>
      <c r="AB145">
        <v>0</v>
      </c>
      <c r="AC145">
        <v>1.292873399316E-4</v>
      </c>
      <c r="AD145">
        <v>3.64361096197151E-4</v>
      </c>
      <c r="AE145">
        <v>0</v>
      </c>
      <c r="AF145">
        <v>1.19962083507114E-3</v>
      </c>
      <c r="AG145">
        <v>3.3039844905275097E-5</v>
      </c>
      <c r="AH145">
        <v>0</v>
      </c>
      <c r="AI145">
        <v>2.1481123896890899E-5</v>
      </c>
      <c r="AJ145">
        <v>2.17629117014375E-4</v>
      </c>
      <c r="AK145">
        <v>0</v>
      </c>
      <c r="AL145">
        <v>3.7807590465051001E-4</v>
      </c>
      <c r="AM145">
        <v>0</v>
      </c>
      <c r="AN145">
        <v>6.0273581732011097E-4</v>
      </c>
      <c r="AO145">
        <v>1.36290316476393E-5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3.6669585425914801E-3</v>
      </c>
      <c r="AX145">
        <v>0</v>
      </c>
      <c r="AY145">
        <v>1.2987692571590299E-3</v>
      </c>
      <c r="AZ145">
        <v>0</v>
      </c>
      <c r="BA145">
        <v>0</v>
      </c>
      <c r="BB145">
        <v>2.4478905739699902E-4</v>
      </c>
      <c r="BC145">
        <v>1.08989083356349E-3</v>
      </c>
      <c r="BD145">
        <v>2.1849826863451101E-4</v>
      </c>
      <c r="BE145">
        <v>7.2904275762534305E-4</v>
      </c>
      <c r="BF145">
        <v>0</v>
      </c>
      <c r="BG145">
        <v>1.2577693285688299E-4</v>
      </c>
      <c r="BH145">
        <v>1.14489326347649E-4</v>
      </c>
      <c r="BI145">
        <v>5.0458460970249604E-4</v>
      </c>
      <c r="BJ145">
        <v>1.9725317392352301E-4</v>
      </c>
      <c r="BK145">
        <v>3.2639162010999399E-4</v>
      </c>
      <c r="BL145">
        <v>2.8887369729704702E-4</v>
      </c>
      <c r="BM145">
        <v>4.74605754885643E-4</v>
      </c>
      <c r="BN145">
        <v>0</v>
      </c>
      <c r="BO145">
        <v>8.4555526870702202E-4</v>
      </c>
      <c r="BP145">
        <v>0</v>
      </c>
      <c r="BQ145">
        <v>0</v>
      </c>
      <c r="BR145">
        <v>0</v>
      </c>
      <c r="BS145">
        <v>0</v>
      </c>
      <c r="BT145">
        <v>7.7041725305035695E-4</v>
      </c>
      <c r="BU145">
        <v>0</v>
      </c>
      <c r="BV145">
        <v>6.7918642966929206E-5</v>
      </c>
      <c r="BW145">
        <v>6.9643726288662997E-5</v>
      </c>
      <c r="BX145">
        <v>3.7861690410336002E-4</v>
      </c>
      <c r="BY145">
        <v>0</v>
      </c>
      <c r="BZ145">
        <v>3.4446729922333501E-4</v>
      </c>
      <c r="CA145">
        <v>0</v>
      </c>
      <c r="CB145">
        <v>1.4881612780225401E-3</v>
      </c>
      <c r="CC145">
        <v>0</v>
      </c>
      <c r="CD145">
        <v>2.09105280441903E-4</v>
      </c>
      <c r="CE145">
        <v>9.2190888381579397E-5</v>
      </c>
      <c r="CF145">
        <v>9.6504374463554296E-4</v>
      </c>
      <c r="CG145">
        <v>7.3498927181192997E-4</v>
      </c>
      <c r="CH145">
        <v>2.2069017548234001E-4</v>
      </c>
      <c r="CI145">
        <v>4.3223108792121701E-4</v>
      </c>
      <c r="CJ145">
        <f>MAX(E145:CI145)</f>
        <v>3.6669585425914801E-3</v>
      </c>
    </row>
    <row r="146" spans="1:88" x14ac:dyDescent="0.2">
      <c r="A146" t="s">
        <v>283</v>
      </c>
      <c r="B146" t="s">
        <v>283</v>
      </c>
      <c r="C146" t="s">
        <v>187</v>
      </c>
      <c r="D146" t="s">
        <v>255</v>
      </c>
      <c r="E146">
        <v>2.9881060029683502E-4</v>
      </c>
      <c r="F146">
        <v>2.5721305044931801E-4</v>
      </c>
      <c r="G146">
        <v>6.9389538648790205E-4</v>
      </c>
      <c r="H146">
        <v>1.0591269036343499E-3</v>
      </c>
      <c r="I146">
        <v>0</v>
      </c>
      <c r="J146">
        <v>0</v>
      </c>
      <c r="K146">
        <v>4.8345048471649401E-4</v>
      </c>
      <c r="L146">
        <v>1.3889416460529801E-4</v>
      </c>
      <c r="M146">
        <v>6.9502911866327794E-5</v>
      </c>
      <c r="N146">
        <v>2.0914909995845601E-5</v>
      </c>
      <c r="O146">
        <v>0</v>
      </c>
      <c r="P146">
        <v>1.3991684383116401E-4</v>
      </c>
      <c r="Q146">
        <v>9.4107015398969804E-5</v>
      </c>
      <c r="R146">
        <v>2.0363433186339401E-4</v>
      </c>
      <c r="S146">
        <v>4.9104127641914802E-5</v>
      </c>
      <c r="T146">
        <v>4.5955024290992201E-5</v>
      </c>
      <c r="U146">
        <v>2.12940367866448E-4</v>
      </c>
      <c r="V146">
        <v>0</v>
      </c>
      <c r="W146">
        <v>3.3345865951535999E-4</v>
      </c>
      <c r="X146">
        <v>7.9929114198852103E-5</v>
      </c>
      <c r="Y146">
        <v>5.7433991557075104E-4</v>
      </c>
      <c r="Z146">
        <v>0</v>
      </c>
      <c r="AA146">
        <v>6.39225365267744E-4</v>
      </c>
      <c r="AB146">
        <v>9.3962161780174698E-5</v>
      </c>
      <c r="AC146">
        <v>7.5875575827319603E-4</v>
      </c>
      <c r="AD146">
        <v>3.98504289038538E-4</v>
      </c>
      <c r="AE146">
        <v>7.7906016765865002E-4</v>
      </c>
      <c r="AF146">
        <v>3.0879268231988501E-4</v>
      </c>
      <c r="AG146">
        <v>3.1650020817024102E-4</v>
      </c>
      <c r="AH146">
        <v>2.9713102423154598E-4</v>
      </c>
      <c r="AI146">
        <v>1.8150767760037999E-4</v>
      </c>
      <c r="AJ146">
        <v>9.5145006473109305E-5</v>
      </c>
      <c r="AK146">
        <v>1.63062088323754E-4</v>
      </c>
      <c r="AL146">
        <v>7.6733321924055703E-5</v>
      </c>
      <c r="AM146">
        <v>4.3094912176897801E-4</v>
      </c>
      <c r="AN146">
        <v>6.9956488221205001E-4</v>
      </c>
      <c r="AO146">
        <v>0</v>
      </c>
      <c r="AP146">
        <v>1.1592817525761E-4</v>
      </c>
      <c r="AQ146">
        <v>0</v>
      </c>
      <c r="AR146">
        <v>0</v>
      </c>
      <c r="AS146">
        <v>1.06717833509052E-4</v>
      </c>
      <c r="AT146">
        <v>0</v>
      </c>
      <c r="AU146">
        <v>9.7909763153938693E-4</v>
      </c>
      <c r="AV146">
        <v>7.5666213241836302E-4</v>
      </c>
      <c r="AW146">
        <v>9.7361442557187595E-4</v>
      </c>
      <c r="AX146">
        <v>0</v>
      </c>
      <c r="AY146">
        <v>2.9665727287189698E-4</v>
      </c>
      <c r="AZ146">
        <v>6.8073957628705896E-4</v>
      </c>
      <c r="BA146">
        <v>7.84720503170629E-4</v>
      </c>
      <c r="BB146">
        <v>0</v>
      </c>
      <c r="BC146">
        <v>0</v>
      </c>
      <c r="BD146">
        <v>6.8951385935767302E-4</v>
      </c>
      <c r="BE146">
        <v>5.16822009089755E-4</v>
      </c>
      <c r="BF146">
        <v>2.27955460574956E-4</v>
      </c>
      <c r="BG146">
        <v>0</v>
      </c>
      <c r="BH146">
        <v>0</v>
      </c>
      <c r="BI146">
        <v>3.5338002733494402E-4</v>
      </c>
      <c r="BJ146">
        <v>3.2054647103148102E-4</v>
      </c>
      <c r="BK146">
        <v>1.5093049625668599E-4</v>
      </c>
      <c r="BL146">
        <v>5.9302636250275597E-4</v>
      </c>
      <c r="BM146">
        <v>0</v>
      </c>
      <c r="BN146">
        <v>3.4627568734269399E-4</v>
      </c>
      <c r="BO146">
        <v>0</v>
      </c>
      <c r="BP146">
        <v>0</v>
      </c>
      <c r="BQ146">
        <v>1.5095030678441101E-4</v>
      </c>
      <c r="BR146">
        <v>2.2298107249524399E-4</v>
      </c>
      <c r="BS146">
        <v>0</v>
      </c>
      <c r="BT146">
        <v>0</v>
      </c>
      <c r="BU146">
        <v>1.5320255210655699E-4</v>
      </c>
      <c r="BV146">
        <v>0</v>
      </c>
      <c r="BW146">
        <v>2.93358043154588E-4</v>
      </c>
      <c r="BX146">
        <v>0</v>
      </c>
      <c r="BY146">
        <v>0</v>
      </c>
      <c r="BZ146">
        <v>2.5588922560563099E-4</v>
      </c>
      <c r="CA146">
        <v>2.2582395020991899E-4</v>
      </c>
      <c r="CB146">
        <v>3.2496530806958902E-4</v>
      </c>
      <c r="CC146">
        <v>2.1582661531831799E-4</v>
      </c>
      <c r="CD146">
        <v>1.5312637447877799E-4</v>
      </c>
      <c r="CE146">
        <v>1.3734473002040599E-4</v>
      </c>
      <c r="CF146">
        <v>3.5952078223371498E-4</v>
      </c>
      <c r="CG146">
        <v>5.0291431778438196E-4</v>
      </c>
      <c r="CH146">
        <v>4.6346719557321801E-4</v>
      </c>
      <c r="CI146">
        <v>0</v>
      </c>
      <c r="CJ146">
        <f>MAX(E146:CI146)</f>
        <v>1.0591269036343499E-3</v>
      </c>
    </row>
    <row r="147" spans="1:88" x14ac:dyDescent="0.2">
      <c r="A147" t="s">
        <v>284</v>
      </c>
      <c r="B147" t="s">
        <v>284</v>
      </c>
      <c r="C147" t="s">
        <v>249</v>
      </c>
      <c r="D147" t="s">
        <v>119</v>
      </c>
      <c r="E147">
        <v>1.1799021703897201E-5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1.03595526034707E-5</v>
      </c>
      <c r="V147">
        <v>2.3605651980144001E-5</v>
      </c>
      <c r="W147">
        <v>1.9966088877055399E-5</v>
      </c>
      <c r="X147">
        <v>0</v>
      </c>
      <c r="Y147">
        <v>0</v>
      </c>
      <c r="Z147">
        <v>1.64787019979911E-5</v>
      </c>
      <c r="AA147">
        <v>0</v>
      </c>
      <c r="AB147">
        <v>1.38046054956422E-5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1.6626889096698899E-5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1.11207992233642E-5</v>
      </c>
      <c r="AV147">
        <v>0</v>
      </c>
      <c r="AW147">
        <v>0</v>
      </c>
      <c r="AX147">
        <v>0</v>
      </c>
      <c r="AY147">
        <v>0</v>
      </c>
      <c r="AZ147">
        <v>1.2251012979959499E-5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1.26122624658843E-5</v>
      </c>
      <c r="BG147">
        <v>1.92942543770295E-5</v>
      </c>
      <c r="BH147">
        <v>5.6016503879107303E-5</v>
      </c>
      <c r="BI147">
        <v>0</v>
      </c>
      <c r="BJ147">
        <v>2.4239351693776701E-5</v>
      </c>
      <c r="BK147">
        <v>0</v>
      </c>
      <c r="BL147">
        <v>0</v>
      </c>
      <c r="BM147">
        <v>0</v>
      </c>
      <c r="BN147">
        <v>2.1861502153505798E-5</v>
      </c>
      <c r="BO147">
        <v>0</v>
      </c>
      <c r="BP147">
        <v>2.6649373275682901E-5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1.96621045019428E-5</v>
      </c>
      <c r="CD147">
        <v>5.8711340997186902E-5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f>MAX(E147:CI147)</f>
        <v>5.8711340997186902E-5</v>
      </c>
    </row>
    <row r="148" spans="1:88" x14ac:dyDescent="0.2">
      <c r="A148" t="s">
        <v>285</v>
      </c>
      <c r="B148" t="s">
        <v>285</v>
      </c>
      <c r="C148" t="s">
        <v>118</v>
      </c>
      <c r="D148" t="s">
        <v>119</v>
      </c>
      <c r="E148">
        <v>2.8612644567955299E-3</v>
      </c>
      <c r="F148">
        <v>3.2137715364599301E-3</v>
      </c>
      <c r="G148">
        <v>1.88679188631087E-3</v>
      </c>
      <c r="H148">
        <v>8.2239033933545307E-3</v>
      </c>
      <c r="I148">
        <v>2.87799476744808E-3</v>
      </c>
      <c r="J148">
        <v>9.7363460225150704E-4</v>
      </c>
      <c r="K148">
        <v>0</v>
      </c>
      <c r="L148">
        <v>0</v>
      </c>
      <c r="M148">
        <v>0</v>
      </c>
      <c r="N148">
        <v>0</v>
      </c>
      <c r="O148">
        <v>1.0476325897640599E-4</v>
      </c>
      <c r="P148">
        <v>3.0267252513559102E-4</v>
      </c>
      <c r="Q148">
        <v>8.9427481476690596E-3</v>
      </c>
      <c r="R148">
        <v>4.74314061583545E-4</v>
      </c>
      <c r="S148">
        <v>1.1847562269989801E-3</v>
      </c>
      <c r="T148">
        <v>1.9185980556037201E-3</v>
      </c>
      <c r="U148">
        <v>1.3823149340109E-3</v>
      </c>
      <c r="V148">
        <v>9.0295269800589606E-3</v>
      </c>
      <c r="W148">
        <v>1.1664926320713101E-3</v>
      </c>
      <c r="X148">
        <v>2.4642172874842001E-5</v>
      </c>
      <c r="Y148">
        <v>0</v>
      </c>
      <c r="Z148">
        <v>3.79404956360434E-4</v>
      </c>
      <c r="AA148">
        <v>2.4668117022583502E-3</v>
      </c>
      <c r="AB148">
        <v>2.4273421648734498E-3</v>
      </c>
      <c r="AC148">
        <v>0</v>
      </c>
      <c r="AD148">
        <v>8.0915738091536302E-5</v>
      </c>
      <c r="AE148">
        <v>6.30884707012836E-3</v>
      </c>
      <c r="AF148">
        <v>3.5253236945917303E-5</v>
      </c>
      <c r="AG148">
        <v>0</v>
      </c>
      <c r="AH148">
        <v>0</v>
      </c>
      <c r="AI148">
        <v>0</v>
      </c>
      <c r="AJ148">
        <v>0</v>
      </c>
      <c r="AK148">
        <v>3.89055894857412E-5</v>
      </c>
      <c r="AL148">
        <v>0</v>
      </c>
      <c r="AM148">
        <v>5.6552264514045802E-5</v>
      </c>
      <c r="AN148">
        <v>0</v>
      </c>
      <c r="AO148">
        <v>0</v>
      </c>
      <c r="AP148">
        <v>3.5389872663263201E-5</v>
      </c>
      <c r="AQ148">
        <v>0</v>
      </c>
      <c r="AR148">
        <v>0</v>
      </c>
      <c r="AS148">
        <v>0</v>
      </c>
      <c r="AT148">
        <v>1.32587017068594E-2</v>
      </c>
      <c r="AU148">
        <v>0</v>
      </c>
      <c r="AV148">
        <v>0</v>
      </c>
      <c r="AW148">
        <v>0</v>
      </c>
      <c r="AX148">
        <v>0</v>
      </c>
      <c r="AY148">
        <v>4.9270957255436303E-5</v>
      </c>
      <c r="AZ148">
        <v>3.9665414775457497E-5</v>
      </c>
      <c r="BA148">
        <v>0</v>
      </c>
      <c r="BB148">
        <v>0</v>
      </c>
      <c r="BC148">
        <v>8.4370573269247498E-4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2.3404803539492799E-5</v>
      </c>
      <c r="BJ148">
        <v>3.0687605322103901E-3</v>
      </c>
      <c r="BK148">
        <v>1.87775963900916E-4</v>
      </c>
      <c r="BL148">
        <v>0</v>
      </c>
      <c r="BM148">
        <v>0</v>
      </c>
      <c r="BN148">
        <v>0</v>
      </c>
      <c r="BO148">
        <v>3.9886047305653302E-5</v>
      </c>
      <c r="BP148">
        <v>3.7856285650773602E-5</v>
      </c>
      <c r="BQ148">
        <v>0</v>
      </c>
      <c r="BR148">
        <v>0</v>
      </c>
      <c r="BS148">
        <v>0</v>
      </c>
      <c r="BT148">
        <v>0</v>
      </c>
      <c r="BU148">
        <v>2.23854588066741E-4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1.3709733098068899E-4</v>
      </c>
      <c r="CB148">
        <v>0</v>
      </c>
      <c r="CC148">
        <v>0</v>
      </c>
      <c r="CD148">
        <v>8.2481205550998801E-5</v>
      </c>
      <c r="CE148">
        <v>0</v>
      </c>
      <c r="CF148">
        <v>0</v>
      </c>
      <c r="CG148">
        <v>4.4928922155842803E-5</v>
      </c>
      <c r="CH148">
        <v>0</v>
      </c>
      <c r="CI148">
        <v>0</v>
      </c>
      <c r="CJ148">
        <f>MAX(E148:CI148)</f>
        <v>1.32587017068594E-2</v>
      </c>
    </row>
    <row r="149" spans="1:88" x14ac:dyDescent="0.2">
      <c r="A149" t="s">
        <v>286</v>
      </c>
      <c r="B149" t="s">
        <v>286</v>
      </c>
      <c r="C149" t="s">
        <v>118</v>
      </c>
      <c r="D149" t="s">
        <v>119</v>
      </c>
      <c r="E149">
        <v>2.43575722815085E-3</v>
      </c>
      <c r="F149">
        <v>2.8939231902113502E-3</v>
      </c>
      <c r="G149">
        <v>1.4451169667338401E-3</v>
      </c>
      <c r="H149">
        <v>6.9872776348363901E-3</v>
      </c>
      <c r="I149">
        <v>1.7996539335805701E-3</v>
      </c>
      <c r="J149">
        <v>5.1018184496806E-4</v>
      </c>
      <c r="K149">
        <v>0</v>
      </c>
      <c r="L149">
        <v>8.7525378997739198E-5</v>
      </c>
      <c r="M149">
        <v>0</v>
      </c>
      <c r="N149">
        <v>0</v>
      </c>
      <c r="O149">
        <v>8.7741488951082895E-5</v>
      </c>
      <c r="P149">
        <v>1.2224525195907301E-4</v>
      </c>
      <c r="Q149">
        <v>6.0143680322393396E-3</v>
      </c>
      <c r="R149">
        <v>2.817669169343E-4</v>
      </c>
      <c r="S149">
        <v>6.3156201255019201E-4</v>
      </c>
      <c r="T149">
        <v>1.15659949941052E-3</v>
      </c>
      <c r="U149">
        <v>8.7440574028386402E-4</v>
      </c>
      <c r="V149">
        <v>6.6445412207449097E-3</v>
      </c>
      <c r="W149">
        <v>8.9305457572628295E-4</v>
      </c>
      <c r="X149">
        <v>3.4172126076220201E-5</v>
      </c>
      <c r="Y149">
        <v>0</v>
      </c>
      <c r="Z149">
        <v>2.4603845998236298E-4</v>
      </c>
      <c r="AA149">
        <v>1.56117648083273E-3</v>
      </c>
      <c r="AB149">
        <v>2.4982103310588E-3</v>
      </c>
      <c r="AC149">
        <v>0</v>
      </c>
      <c r="AD149">
        <v>3.0094075070727599E-5</v>
      </c>
      <c r="AE149">
        <v>4.1174468329889802E-3</v>
      </c>
      <c r="AF149">
        <v>3.2245714168123497E-5</v>
      </c>
      <c r="AG149">
        <v>1.8272711609981899E-5</v>
      </c>
      <c r="AH149">
        <v>3.19711310000535E-5</v>
      </c>
      <c r="AI149">
        <v>0</v>
      </c>
      <c r="AJ149">
        <v>3.2929565476638702E-5</v>
      </c>
      <c r="AK149">
        <v>0</v>
      </c>
      <c r="AL149">
        <v>0</v>
      </c>
      <c r="AM149">
        <v>0</v>
      </c>
      <c r="AN149">
        <v>3.7705959785152802E-5</v>
      </c>
      <c r="AO149">
        <v>1.23409331563617E-4</v>
      </c>
      <c r="AP149">
        <v>5.43339151240689E-5</v>
      </c>
      <c r="AQ149">
        <v>0</v>
      </c>
      <c r="AR149">
        <v>0</v>
      </c>
      <c r="AS149">
        <v>0</v>
      </c>
      <c r="AT149">
        <v>1.19821016609963E-2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2.3594566363395101E-5</v>
      </c>
      <c r="BA149">
        <v>0</v>
      </c>
      <c r="BB149">
        <v>0</v>
      </c>
      <c r="BC149">
        <v>3.81180784910775E-4</v>
      </c>
      <c r="BD149">
        <v>5.5090916827829099E-5</v>
      </c>
      <c r="BE149">
        <v>0</v>
      </c>
      <c r="BF149">
        <v>0</v>
      </c>
      <c r="BG149">
        <v>9.65708379907798E-6</v>
      </c>
      <c r="BH149">
        <v>0</v>
      </c>
      <c r="BI149">
        <v>0</v>
      </c>
      <c r="BJ149">
        <v>2.6346140286384102E-3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4.5003780727476899E-5</v>
      </c>
      <c r="BQ149">
        <v>0</v>
      </c>
      <c r="BR149">
        <v>0</v>
      </c>
      <c r="BS149">
        <v>0</v>
      </c>
      <c r="BT149">
        <v>0</v>
      </c>
      <c r="BU149">
        <v>2.5046612685212502E-4</v>
      </c>
      <c r="BV149">
        <v>0</v>
      </c>
      <c r="BW149">
        <v>0</v>
      </c>
      <c r="BX149">
        <v>0</v>
      </c>
      <c r="BY149">
        <v>0</v>
      </c>
      <c r="BZ149">
        <v>6.7269623965368193E-5</v>
      </c>
      <c r="CA149">
        <v>1.3690427193869701E-4</v>
      </c>
      <c r="CB149">
        <v>0</v>
      </c>
      <c r="CC149">
        <v>0</v>
      </c>
      <c r="CD149">
        <v>1.7506003058188999E-4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f>MAX(E149:CI149)</f>
        <v>1.19821016609963E-2</v>
      </c>
    </row>
    <row r="150" spans="1:88" x14ac:dyDescent="0.2">
      <c r="A150" t="s">
        <v>287</v>
      </c>
      <c r="B150" t="s">
        <v>287</v>
      </c>
      <c r="C150" t="s">
        <v>249</v>
      </c>
      <c r="D150" t="s">
        <v>119</v>
      </c>
      <c r="E150">
        <v>9.9562776673207502E-3</v>
      </c>
      <c r="F150">
        <v>7.2918713865698899E-3</v>
      </c>
      <c r="G150">
        <v>3.5764157600433798E-2</v>
      </c>
      <c r="H150">
        <v>7.4827114812793701E-3</v>
      </c>
      <c r="I150">
        <v>5.7283691870476704E-3</v>
      </c>
      <c r="J150">
        <v>0</v>
      </c>
      <c r="K150">
        <v>2.7260825323800999E-2</v>
      </c>
      <c r="L150">
        <v>4.7940879817307096E-3</v>
      </c>
      <c r="M150">
        <v>6.1830392013993499E-3</v>
      </c>
      <c r="N150">
        <v>2.3679689314588699E-3</v>
      </c>
      <c r="O150">
        <v>4.3327037996237503E-3</v>
      </c>
      <c r="P150">
        <v>4.7049498646399802E-3</v>
      </c>
      <c r="Q150">
        <v>3.8381681743841398E-3</v>
      </c>
      <c r="R150">
        <v>6.77108085754889E-3</v>
      </c>
      <c r="S150">
        <v>5.7031001744991903E-3</v>
      </c>
      <c r="T150">
        <v>4.0500277600163297E-3</v>
      </c>
      <c r="U150">
        <v>1.3526984737127899E-2</v>
      </c>
      <c r="V150">
        <v>7.0606876557958798E-3</v>
      </c>
      <c r="W150">
        <v>1.32370131408815E-2</v>
      </c>
      <c r="X150">
        <v>2.1284281786753101E-3</v>
      </c>
      <c r="Y150">
        <v>1.24138930652152E-2</v>
      </c>
      <c r="Z150">
        <v>5.4326909501819197E-3</v>
      </c>
      <c r="AA150">
        <v>2.79922623627025E-2</v>
      </c>
      <c r="AB150">
        <v>2.4184382331708001E-3</v>
      </c>
      <c r="AC150">
        <v>2.7401857279084101E-2</v>
      </c>
      <c r="AD150">
        <v>8.6427907807635693E-3</v>
      </c>
      <c r="AE150">
        <v>2.6052715683976799E-2</v>
      </c>
      <c r="AF150">
        <v>1.3478854957303299E-2</v>
      </c>
      <c r="AG150">
        <v>1.54212649938504E-2</v>
      </c>
      <c r="AH150">
        <v>4.9019513869074703E-3</v>
      </c>
      <c r="AI150">
        <v>1.3362324061385499E-2</v>
      </c>
      <c r="AJ150">
        <v>3.7127867027564E-3</v>
      </c>
      <c r="AK150">
        <v>1.5498262056386099E-2</v>
      </c>
      <c r="AL150">
        <v>5.2761362237312703E-3</v>
      </c>
      <c r="AM150">
        <v>1.52664127501198E-2</v>
      </c>
      <c r="AN150">
        <v>9.1288064665196698E-3</v>
      </c>
      <c r="AO150">
        <v>6.1965077898552996E-3</v>
      </c>
      <c r="AP150">
        <v>4.28955262304947E-3</v>
      </c>
      <c r="AQ150">
        <v>1.0939160641725501E-2</v>
      </c>
      <c r="AR150">
        <v>4.1278698907499098E-3</v>
      </c>
      <c r="AS150">
        <v>2.4339855746738599E-2</v>
      </c>
      <c r="AT150">
        <v>1.83934416950348E-3</v>
      </c>
      <c r="AU150">
        <v>1.37291926769352E-2</v>
      </c>
      <c r="AV150">
        <v>2.3442827938046199E-2</v>
      </c>
      <c r="AW150">
        <v>2.69388467704159E-2</v>
      </c>
      <c r="AX150">
        <v>2.08786781700726E-2</v>
      </c>
      <c r="AY150">
        <v>1.4299603648280101E-2</v>
      </c>
      <c r="AZ150">
        <v>3.7329657045458903E-2</v>
      </c>
      <c r="BA150">
        <v>2.8302773771585601E-2</v>
      </c>
      <c r="BB150">
        <v>3.0266485901098799E-2</v>
      </c>
      <c r="BC150">
        <v>1.47909817088472E-2</v>
      </c>
      <c r="BD150">
        <v>4.3348792049467101E-2</v>
      </c>
      <c r="BE150">
        <v>1.5431281720092799E-2</v>
      </c>
      <c r="BF150">
        <v>1.8581253142594099E-2</v>
      </c>
      <c r="BG150">
        <v>0</v>
      </c>
      <c r="BH150">
        <v>3.3713745184274703E-2</v>
      </c>
      <c r="BI150">
        <v>1.5079432583873301E-2</v>
      </c>
      <c r="BJ150">
        <v>1.8034703222452299E-2</v>
      </c>
      <c r="BK150">
        <v>9.6992689052480992E-3</v>
      </c>
      <c r="BL150">
        <v>1.61935475179085E-2</v>
      </c>
      <c r="BM150">
        <v>1.1768822153879799E-2</v>
      </c>
      <c r="BN150">
        <v>1.8794379847420599E-2</v>
      </c>
      <c r="BO150">
        <v>1.6570133217728E-2</v>
      </c>
      <c r="BP150">
        <v>1.2456757214030599E-2</v>
      </c>
      <c r="BQ150">
        <v>1.28863226177275E-2</v>
      </c>
      <c r="BR150">
        <v>2.9802589439726301E-2</v>
      </c>
      <c r="BS150">
        <v>1.48397983640065E-2</v>
      </c>
      <c r="BT150">
        <v>1.0575818769479901E-2</v>
      </c>
      <c r="BU150">
        <v>6.1419178029560196E-3</v>
      </c>
      <c r="BV150">
        <v>2.25461815616488E-3</v>
      </c>
      <c r="BW150">
        <v>1.28990581323417E-2</v>
      </c>
      <c r="BX150">
        <v>9.4826997555933802E-3</v>
      </c>
      <c r="BY150">
        <v>0</v>
      </c>
      <c r="BZ150">
        <v>1.15226667042489E-2</v>
      </c>
      <c r="CA150">
        <v>1.80998510115403E-2</v>
      </c>
      <c r="CB150">
        <v>1.0206973800145199E-2</v>
      </c>
      <c r="CC150">
        <v>2.5374237470966999E-2</v>
      </c>
      <c r="CD150">
        <v>9.6850083614754504E-3</v>
      </c>
      <c r="CE150">
        <v>2.12184668229775E-2</v>
      </c>
      <c r="CF150">
        <v>2.6727725355562199E-2</v>
      </c>
      <c r="CG150">
        <v>2.6783356374844899E-2</v>
      </c>
      <c r="CH150">
        <v>1.8457420223723001E-2</v>
      </c>
      <c r="CI150">
        <v>1.1681591094204399E-2</v>
      </c>
      <c r="CJ150">
        <f>MAX(E150:CI150)</f>
        <v>4.3348792049467101E-2</v>
      </c>
    </row>
    <row r="151" spans="1:88" x14ac:dyDescent="0.2">
      <c r="A151" t="s">
        <v>288</v>
      </c>
      <c r="B151" t="s">
        <v>288</v>
      </c>
      <c r="C151" t="s">
        <v>249</v>
      </c>
      <c r="D151" t="s">
        <v>255</v>
      </c>
      <c r="E151">
        <v>5.8040213324398501E-4</v>
      </c>
      <c r="F151">
        <v>8.0709006253436495E-4</v>
      </c>
      <c r="G151">
        <v>2.52979890349205E-3</v>
      </c>
      <c r="H151">
        <v>1.9593408810640602E-3</v>
      </c>
      <c r="I151">
        <v>5.2102312574591305E-4</v>
      </c>
      <c r="J151">
        <v>0</v>
      </c>
      <c r="K151">
        <v>2.1619019835862601E-3</v>
      </c>
      <c r="L151">
        <v>0</v>
      </c>
      <c r="M151">
        <v>7.1138220950937197E-4</v>
      </c>
      <c r="N151">
        <v>4.6768021751400702E-4</v>
      </c>
      <c r="O151">
        <v>4.8575692425939499E-4</v>
      </c>
      <c r="P151">
        <v>8.3477224316560398E-4</v>
      </c>
      <c r="Q151">
        <v>0</v>
      </c>
      <c r="R151">
        <v>8.7207131199312695E-4</v>
      </c>
      <c r="S151">
        <v>9.65103743074763E-4</v>
      </c>
      <c r="T151">
        <v>6.59890688167132E-4</v>
      </c>
      <c r="U151">
        <v>1.32985411048576E-3</v>
      </c>
      <c r="V151">
        <v>0</v>
      </c>
      <c r="W151">
        <v>0</v>
      </c>
      <c r="X151">
        <v>1.91975585144853E-4</v>
      </c>
      <c r="Y151">
        <v>1.1472260501662901E-3</v>
      </c>
      <c r="Z151">
        <v>1.0045140140470599E-3</v>
      </c>
      <c r="AA151">
        <v>1.6860560193564401E-3</v>
      </c>
      <c r="AB151">
        <v>0</v>
      </c>
      <c r="AC151">
        <v>0</v>
      </c>
      <c r="AD151">
        <v>1.8808969404265101E-3</v>
      </c>
      <c r="AE151">
        <v>2.1108141653572898E-3</v>
      </c>
      <c r="AF151">
        <v>3.1347506420295202E-3</v>
      </c>
      <c r="AG151">
        <v>9.0122867186280499E-4</v>
      </c>
      <c r="AH151">
        <v>8.5159872000365301E-4</v>
      </c>
      <c r="AI151">
        <v>7.6040331234433799E-4</v>
      </c>
      <c r="AJ151">
        <v>7.0987028975369698E-4</v>
      </c>
      <c r="AK151">
        <v>8.6040316643806595E-4</v>
      </c>
      <c r="AL151">
        <v>8.3887065042999396E-4</v>
      </c>
      <c r="AM151">
        <v>0</v>
      </c>
      <c r="AN151">
        <v>1.2125593366057101E-3</v>
      </c>
      <c r="AO151">
        <v>0</v>
      </c>
      <c r="AP151">
        <v>0</v>
      </c>
      <c r="AQ151">
        <v>0</v>
      </c>
      <c r="AR151">
        <v>5.3169429448022697E-4</v>
      </c>
      <c r="AS151">
        <v>1.46536225253418E-3</v>
      </c>
      <c r="AT151">
        <v>4.8280637954724298E-4</v>
      </c>
      <c r="AU151">
        <v>0</v>
      </c>
      <c r="AV151">
        <v>1.9303230650226399E-3</v>
      </c>
      <c r="AW151">
        <v>3.79076620327046E-3</v>
      </c>
      <c r="AX151">
        <v>0</v>
      </c>
      <c r="AY151">
        <v>2.5398145100239502E-3</v>
      </c>
      <c r="AZ151">
        <v>0</v>
      </c>
      <c r="BA151">
        <v>4.2907380340035496E-3</v>
      </c>
      <c r="BB151">
        <v>1.8029388621513399E-3</v>
      </c>
      <c r="BC151">
        <v>1.72948977999939E-3</v>
      </c>
      <c r="BD151">
        <v>2.5794196264479702E-3</v>
      </c>
      <c r="BE151">
        <v>2.1965849313502501E-3</v>
      </c>
      <c r="BF151">
        <v>7.2324926338508796E-4</v>
      </c>
      <c r="BG151">
        <v>5.6914640895268896E-4</v>
      </c>
      <c r="BH151">
        <v>4.0287934281654798E-3</v>
      </c>
      <c r="BI151">
        <v>1.32621214281527E-3</v>
      </c>
      <c r="BJ151">
        <v>1.52138104133806E-3</v>
      </c>
      <c r="BK151">
        <v>1.31633673100337E-3</v>
      </c>
      <c r="BL151">
        <v>0</v>
      </c>
      <c r="BM151">
        <v>1.5727909444939699E-3</v>
      </c>
      <c r="BN151">
        <v>2.4562863794766699E-3</v>
      </c>
      <c r="BO151">
        <v>0</v>
      </c>
      <c r="BP151">
        <v>2.8913855083334602E-3</v>
      </c>
      <c r="BQ151">
        <v>1.5434515456244E-3</v>
      </c>
      <c r="BR151">
        <v>4.3616217515426497E-3</v>
      </c>
      <c r="BS151">
        <v>1.56584222424328E-3</v>
      </c>
      <c r="BT151">
        <v>0</v>
      </c>
      <c r="BU151">
        <v>1.28345604554282E-3</v>
      </c>
      <c r="BV151">
        <v>3.2071701413961899E-4</v>
      </c>
      <c r="BW151">
        <v>9.942829679007799E-4</v>
      </c>
      <c r="BX151">
        <v>1.14485108482687E-3</v>
      </c>
      <c r="BY151">
        <v>1.22689105464757E-3</v>
      </c>
      <c r="BZ151">
        <v>2.0829459468228598E-3</v>
      </c>
      <c r="CA151">
        <v>2.1461891748354401E-3</v>
      </c>
      <c r="CB151">
        <v>3.2440609110190202E-3</v>
      </c>
      <c r="CC151">
        <v>3.0165532767712998E-3</v>
      </c>
      <c r="CD151">
        <v>1.3576724332675901E-3</v>
      </c>
      <c r="CE151">
        <v>2.22039888206697E-3</v>
      </c>
      <c r="CF151">
        <v>2.4010765154381299E-3</v>
      </c>
      <c r="CG151">
        <v>2.5648147346301201E-3</v>
      </c>
      <c r="CH151">
        <v>1.1498839177927201E-3</v>
      </c>
      <c r="CI151">
        <v>1.53548649123872E-3</v>
      </c>
      <c r="CJ151">
        <f>MAX(E151:CI151)</f>
        <v>4.3616217515426497E-3</v>
      </c>
    </row>
    <row r="152" spans="1:88" x14ac:dyDescent="0.2">
      <c r="A152" t="s">
        <v>289</v>
      </c>
      <c r="B152" t="s">
        <v>289</v>
      </c>
      <c r="C152" t="s">
        <v>249</v>
      </c>
      <c r="D152" t="s">
        <v>255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6.2151841371046397E-5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1.47641347404463E-5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1.22026175504152E-5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6.4474354085580795E-5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f>MAX(E152:CI152)</f>
        <v>6.4474354085580795E-5</v>
      </c>
    </row>
    <row r="153" spans="1:88" x14ac:dyDescent="0.2">
      <c r="A153" t="s">
        <v>290</v>
      </c>
      <c r="B153" t="s">
        <v>291</v>
      </c>
      <c r="C153" t="s">
        <v>249</v>
      </c>
      <c r="D153" t="s">
        <v>255</v>
      </c>
      <c r="E153">
        <v>0</v>
      </c>
      <c r="F153">
        <v>0</v>
      </c>
      <c r="G153">
        <v>2.4821212918225201E-5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2.5846039279003301E-5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8.2195113595032003E-5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1.15393142327559E-5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f>MAX(E153:CI153)</f>
        <v>8.2195113595032003E-5</v>
      </c>
    </row>
    <row r="154" spans="1:88" x14ac:dyDescent="0.2">
      <c r="A154" t="s">
        <v>292</v>
      </c>
      <c r="B154" t="s">
        <v>292</v>
      </c>
      <c r="C154" t="s">
        <v>116</v>
      </c>
      <c r="D154" t="s">
        <v>89</v>
      </c>
      <c r="E154">
        <v>0</v>
      </c>
      <c r="F154">
        <v>8.32030027462887E-6</v>
      </c>
      <c r="G154">
        <v>1.5321666323289599E-5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1.07828111736176E-5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1.42579799611805E-5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8.8949395302329792E-6</v>
      </c>
      <c r="AF154">
        <v>0</v>
      </c>
      <c r="AG154">
        <v>0</v>
      </c>
      <c r="AH154">
        <v>0</v>
      </c>
      <c r="AI154">
        <v>0</v>
      </c>
      <c r="AJ154">
        <v>1.4294566849261E-5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1.0008200563556001E-5</v>
      </c>
      <c r="BA154">
        <v>2.59932150584048E-5</v>
      </c>
      <c r="BB154">
        <v>8.04753733151716E-5</v>
      </c>
      <c r="BC154">
        <v>1.9131675234805499E-5</v>
      </c>
      <c r="BD154">
        <v>0</v>
      </c>
      <c r="BE154">
        <v>2.7421550025660699E-5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3.9607643103418502E-5</v>
      </c>
      <c r="BM154">
        <v>0</v>
      </c>
      <c r="BN154">
        <v>1.26075587324073E-5</v>
      </c>
      <c r="BO154">
        <v>0</v>
      </c>
      <c r="BP154">
        <v>7.2242372477699101E-6</v>
      </c>
      <c r="BQ154">
        <v>0</v>
      </c>
      <c r="BR154">
        <v>8.7162363883391003E-6</v>
      </c>
      <c r="BS154">
        <v>0</v>
      </c>
      <c r="BT154">
        <v>0</v>
      </c>
      <c r="BU154">
        <v>1.1285011344555799E-5</v>
      </c>
      <c r="BV154">
        <v>0</v>
      </c>
      <c r="BW154">
        <v>3.51853600905493E-5</v>
      </c>
      <c r="BX154">
        <v>0</v>
      </c>
      <c r="BY154">
        <v>0</v>
      </c>
      <c r="BZ154">
        <v>8.6821642978942805E-6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f>MAX(E154:CI154)</f>
        <v>8.04753733151716E-5</v>
      </c>
    </row>
    <row r="155" spans="1:88" x14ac:dyDescent="0.2">
      <c r="A155" t="s">
        <v>293</v>
      </c>
      <c r="B155" t="s">
        <v>293</v>
      </c>
      <c r="C155" t="s">
        <v>116</v>
      </c>
      <c r="D155" t="s">
        <v>89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7.7026648194628395E-6</v>
      </c>
      <c r="AD155">
        <v>0</v>
      </c>
      <c r="AE155">
        <v>1.7993514574913199E-5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1.07820663491351E-5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1.0882332719137599E-5</v>
      </c>
      <c r="AW155">
        <v>3.71814224019322E-5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9.6872832853130903E-6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1.3998483830983099E-5</v>
      </c>
      <c r="CA155">
        <v>0</v>
      </c>
      <c r="CB155">
        <v>0</v>
      </c>
      <c r="CC155">
        <v>0</v>
      </c>
      <c r="CD155">
        <v>0</v>
      </c>
      <c r="CE155">
        <v>9.7642749473698405E-6</v>
      </c>
      <c r="CF155">
        <v>0</v>
      </c>
      <c r="CG155">
        <v>0</v>
      </c>
      <c r="CH155">
        <v>0</v>
      </c>
      <c r="CI155">
        <v>0</v>
      </c>
      <c r="CJ155">
        <f>MAX(E155:CI155)</f>
        <v>3.71814224019322E-5</v>
      </c>
    </row>
    <row r="156" spans="1:88" x14ac:dyDescent="0.2">
      <c r="A156" t="s">
        <v>294</v>
      </c>
      <c r="B156" t="s">
        <v>294</v>
      </c>
      <c r="C156" t="s">
        <v>88</v>
      </c>
      <c r="D156" t="s">
        <v>89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3.8507737265079E-5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f>MAX(E156:CI156)</f>
        <v>3.8507737265079E-5</v>
      </c>
    </row>
    <row r="157" spans="1:88" x14ac:dyDescent="0.2">
      <c r="A157" t="s">
        <v>295</v>
      </c>
      <c r="B157" t="s">
        <v>295</v>
      </c>
      <c r="C157" t="s">
        <v>88</v>
      </c>
      <c r="D157" t="s">
        <v>89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3.6008580390834403E-5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3.8287587295066299E-5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4.5622281512443102E-5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f>MAX(E157:CI157)</f>
        <v>4.5622281512443102E-5</v>
      </c>
    </row>
    <row r="158" spans="1:88" x14ac:dyDescent="0.2">
      <c r="A158" t="s">
        <v>296</v>
      </c>
      <c r="B158" t="s">
        <v>296</v>
      </c>
      <c r="C158" t="s">
        <v>118</v>
      </c>
      <c r="D158" t="s">
        <v>297</v>
      </c>
      <c r="E158">
        <v>1.34189025810591E-4</v>
      </c>
      <c r="F158">
        <v>0</v>
      </c>
      <c r="G158">
        <v>0</v>
      </c>
      <c r="H158">
        <v>0</v>
      </c>
      <c r="I158">
        <v>0</v>
      </c>
      <c r="J158">
        <v>4.5481941996611303E-5</v>
      </c>
      <c r="K158">
        <v>5.4694543259642501E-4</v>
      </c>
      <c r="L158">
        <v>0</v>
      </c>
      <c r="M158">
        <v>7.6690929237898799E-5</v>
      </c>
      <c r="N158">
        <v>0</v>
      </c>
      <c r="O158">
        <v>6.1733798490752603E-5</v>
      </c>
      <c r="P158">
        <v>1.0189620276196E-4</v>
      </c>
      <c r="Q158">
        <v>0</v>
      </c>
      <c r="R158">
        <v>0</v>
      </c>
      <c r="S158">
        <v>0</v>
      </c>
      <c r="T158">
        <v>1.98081082163812E-5</v>
      </c>
      <c r="U158">
        <v>0</v>
      </c>
      <c r="V158">
        <v>0</v>
      </c>
      <c r="W158">
        <v>1.4655275938041E-4</v>
      </c>
      <c r="X158">
        <v>0</v>
      </c>
      <c r="Y158">
        <v>0</v>
      </c>
      <c r="Z158">
        <v>0</v>
      </c>
      <c r="AA158">
        <v>1.6203245045929199E-4</v>
      </c>
      <c r="AB158">
        <v>0</v>
      </c>
      <c r="AC158">
        <v>1.8054480643668101E-4</v>
      </c>
      <c r="AD158">
        <v>0</v>
      </c>
      <c r="AE158">
        <v>2.1246871925000401E-4</v>
      </c>
      <c r="AF158">
        <v>0</v>
      </c>
      <c r="AG158">
        <v>1.10749302573042E-4</v>
      </c>
      <c r="AH158">
        <v>1.3103701760157699E-4</v>
      </c>
      <c r="AI158">
        <v>0</v>
      </c>
      <c r="AJ158">
        <v>1.3636722407992999E-4</v>
      </c>
      <c r="AK158">
        <v>0</v>
      </c>
      <c r="AL158">
        <v>1.25504413925916E-4</v>
      </c>
      <c r="AM158">
        <v>0</v>
      </c>
      <c r="AN158">
        <v>0</v>
      </c>
      <c r="AO158">
        <v>0</v>
      </c>
      <c r="AP158">
        <v>0</v>
      </c>
      <c r="AQ158">
        <v>2.8921845380587702E-3</v>
      </c>
      <c r="AR158">
        <v>2.3094150941443199E-4</v>
      </c>
      <c r="AS158">
        <v>0</v>
      </c>
      <c r="AT158">
        <v>0</v>
      </c>
      <c r="AU158">
        <v>0</v>
      </c>
      <c r="AV158">
        <v>2.0881370539906901E-4</v>
      </c>
      <c r="AW158">
        <v>5.6849807702232804E-4</v>
      </c>
      <c r="AX158">
        <v>1.6701904650039299E-4</v>
      </c>
      <c r="AY158">
        <v>1.50166133973579E-4</v>
      </c>
      <c r="AZ158">
        <v>2.0491842064200401E-4</v>
      </c>
      <c r="BA158">
        <v>3.3274075675784599E-4</v>
      </c>
      <c r="BB158">
        <v>2.1557182578750799E-4</v>
      </c>
      <c r="BC158">
        <v>9.9544667430865805E-5</v>
      </c>
      <c r="BD158">
        <v>2.00355375974847E-4</v>
      </c>
      <c r="BE158">
        <v>2.6886916596782301E-4</v>
      </c>
      <c r="BF158">
        <v>0</v>
      </c>
      <c r="BG158">
        <v>4.9450307893664797E-5</v>
      </c>
      <c r="BH158">
        <v>2.0242260055150301E-4</v>
      </c>
      <c r="BI158">
        <v>2.3824950116113299E-4</v>
      </c>
      <c r="BJ158">
        <v>1.8841262487702699E-4</v>
      </c>
      <c r="BK158">
        <v>0</v>
      </c>
      <c r="BL158">
        <v>1.1952892124754199E-4</v>
      </c>
      <c r="BM158">
        <v>1.2894484961647199E-4</v>
      </c>
      <c r="BN158">
        <v>1.78559104823712E-4</v>
      </c>
      <c r="BO158">
        <v>0</v>
      </c>
      <c r="BP158">
        <v>2.5829916366890398E-4</v>
      </c>
      <c r="BQ158">
        <v>1.45016026131625E-4</v>
      </c>
      <c r="BR158">
        <v>0</v>
      </c>
      <c r="BS158">
        <v>1.7946799047869401E-4</v>
      </c>
      <c r="BT158">
        <v>0</v>
      </c>
      <c r="BU158">
        <v>0</v>
      </c>
      <c r="BV158">
        <v>1.2540388756893201E-4</v>
      </c>
      <c r="BW158">
        <v>1.5293292678255E-4</v>
      </c>
      <c r="BX158">
        <v>2.3122404798057899E-4</v>
      </c>
      <c r="BY158">
        <v>9.7981706706850194E-5</v>
      </c>
      <c r="BZ158">
        <v>3.87469926178911E-4</v>
      </c>
      <c r="CA158">
        <v>9.8246706376671397E-5</v>
      </c>
      <c r="CB158">
        <v>2.4222892399388299E-4</v>
      </c>
      <c r="CC158">
        <v>1.8627475463146899E-4</v>
      </c>
      <c r="CD158">
        <v>0</v>
      </c>
      <c r="CE158">
        <v>0</v>
      </c>
      <c r="CF158">
        <v>3.4789404910886499E-4</v>
      </c>
      <c r="CG158">
        <v>4.0548519317251501E-4</v>
      </c>
      <c r="CH158">
        <v>1.4419493314163999E-4</v>
      </c>
      <c r="CI158">
        <v>3.9494716433523198E-4</v>
      </c>
      <c r="CJ158">
        <f>MAX(E158:CI158)</f>
        <v>2.8921845380587702E-3</v>
      </c>
    </row>
    <row r="159" spans="1:88" x14ac:dyDescent="0.2">
      <c r="A159" t="s">
        <v>298</v>
      </c>
      <c r="B159" t="s">
        <v>298</v>
      </c>
      <c r="C159" t="s">
        <v>299</v>
      </c>
      <c r="D159" t="s">
        <v>178</v>
      </c>
      <c r="E159">
        <v>4.0423694212918301E-3</v>
      </c>
      <c r="F159">
        <v>7.31320925167692E-3</v>
      </c>
      <c r="G159">
        <v>2.5922268220650302E-3</v>
      </c>
      <c r="H159">
        <v>2.7499702783157401E-2</v>
      </c>
      <c r="I159">
        <v>8.6697584964526998E-3</v>
      </c>
      <c r="J159">
        <v>1.09114885180541E-3</v>
      </c>
      <c r="K159">
        <v>0</v>
      </c>
      <c r="L159">
        <v>7.9576530466252005E-5</v>
      </c>
      <c r="M159">
        <v>0</v>
      </c>
      <c r="N159">
        <v>6.0483929707440703E-5</v>
      </c>
      <c r="O159">
        <v>1.4528072551552899E-4</v>
      </c>
      <c r="P159">
        <v>3.3109452554095601E-4</v>
      </c>
      <c r="Q159">
        <v>1.0000805937257501E-2</v>
      </c>
      <c r="R159">
        <v>0</v>
      </c>
      <c r="S159">
        <v>1.50925978430264E-3</v>
      </c>
      <c r="T159">
        <v>1.85133921311829E-3</v>
      </c>
      <c r="U159">
        <v>1.4002964893374699E-3</v>
      </c>
      <c r="V159">
        <v>1.32449706418944E-2</v>
      </c>
      <c r="W159">
        <v>4.10622743190984E-3</v>
      </c>
      <c r="X159">
        <v>2.44511899782505E-4</v>
      </c>
      <c r="Y159">
        <v>9.3820771525069993E-5</v>
      </c>
      <c r="Z159">
        <v>3.7955961723371701E-4</v>
      </c>
      <c r="AA159">
        <v>0</v>
      </c>
      <c r="AB159">
        <v>3.39780147078078E-3</v>
      </c>
      <c r="AC159">
        <v>0</v>
      </c>
      <c r="AD159">
        <v>3.5415306114238198E-5</v>
      </c>
      <c r="AE159">
        <v>9.0899187225917995E-3</v>
      </c>
      <c r="AF159">
        <v>0</v>
      </c>
      <c r="AG159">
        <v>0</v>
      </c>
      <c r="AH159">
        <v>0</v>
      </c>
      <c r="AI159">
        <v>0</v>
      </c>
      <c r="AJ159">
        <v>3.6161879942869297E-5</v>
      </c>
      <c r="AK159">
        <v>0</v>
      </c>
      <c r="AL159">
        <v>0</v>
      </c>
      <c r="AM159">
        <v>2.6703918876535701E-5</v>
      </c>
      <c r="AN159">
        <v>0</v>
      </c>
      <c r="AO159">
        <v>2.1633709816150601E-4</v>
      </c>
      <c r="AP159">
        <v>1.96581208227104E-4</v>
      </c>
      <c r="AQ159">
        <v>0</v>
      </c>
      <c r="AR159">
        <v>0</v>
      </c>
      <c r="AS159">
        <v>0</v>
      </c>
      <c r="AT159">
        <v>1.8933416993872701E-2</v>
      </c>
      <c r="AU159">
        <v>0</v>
      </c>
      <c r="AV159">
        <v>0</v>
      </c>
      <c r="AW159">
        <v>1.0745781362199301E-5</v>
      </c>
      <c r="AX159">
        <v>0</v>
      </c>
      <c r="AY159">
        <v>3.7722111983395202E-5</v>
      </c>
      <c r="AZ159">
        <v>0</v>
      </c>
      <c r="BA159">
        <v>1.6058316006250099E-5</v>
      </c>
      <c r="BB159">
        <v>0</v>
      </c>
      <c r="BC159">
        <v>1.4514296812073099E-3</v>
      </c>
      <c r="BD159">
        <v>1.2975526829262201E-4</v>
      </c>
      <c r="BE159">
        <v>7.4387335007390905E-5</v>
      </c>
      <c r="BF159">
        <v>0</v>
      </c>
      <c r="BG159">
        <v>0</v>
      </c>
      <c r="BH159">
        <v>0</v>
      </c>
      <c r="BI159">
        <v>0</v>
      </c>
      <c r="BJ159">
        <v>4.72080433029105E-3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9.1736253581920999E-6</v>
      </c>
      <c r="BR159">
        <v>0</v>
      </c>
      <c r="BS159">
        <v>0</v>
      </c>
      <c r="BT159">
        <v>0</v>
      </c>
      <c r="BU159">
        <v>7.6775738043750907E-5</v>
      </c>
      <c r="BV159">
        <v>0</v>
      </c>
      <c r="BW159">
        <v>0</v>
      </c>
      <c r="BX159">
        <v>0</v>
      </c>
      <c r="BY159">
        <v>0</v>
      </c>
      <c r="BZ159">
        <v>2.2978199726175E-5</v>
      </c>
      <c r="CA159">
        <v>3.6289919096464598E-4</v>
      </c>
      <c r="CB159">
        <v>0</v>
      </c>
      <c r="CC159">
        <v>0</v>
      </c>
      <c r="CD159">
        <v>2.7215229438734101E-4</v>
      </c>
      <c r="CE159">
        <v>0</v>
      </c>
      <c r="CF159">
        <v>4.6779438003618998E-5</v>
      </c>
      <c r="CG159">
        <v>0</v>
      </c>
      <c r="CH159">
        <v>0</v>
      </c>
      <c r="CI159">
        <v>0</v>
      </c>
      <c r="CJ159">
        <f>MAX(E159:CI159)</f>
        <v>2.7499702783157401E-2</v>
      </c>
    </row>
    <row r="160" spans="1:88" x14ac:dyDescent="0.2">
      <c r="A160" t="s">
        <v>300</v>
      </c>
      <c r="B160" t="s">
        <v>300</v>
      </c>
      <c r="C160" t="s">
        <v>299</v>
      </c>
      <c r="D160" t="s">
        <v>178</v>
      </c>
      <c r="E160">
        <v>9.3023997838694097E-3</v>
      </c>
      <c r="F160">
        <v>1.5090269639236599E-2</v>
      </c>
      <c r="G160">
        <v>8.7544325303558906E-3</v>
      </c>
      <c r="H160">
        <v>3.8707489085323697E-2</v>
      </c>
      <c r="I160">
        <v>1.75313758275712E-3</v>
      </c>
      <c r="J160">
        <v>2.7609084122112498E-4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1.2669661154788999E-3</v>
      </c>
      <c r="Q160">
        <v>9.0891652626120395E-3</v>
      </c>
      <c r="R160">
        <v>2.96677765938121E-4</v>
      </c>
      <c r="S160">
        <v>5.9802040119419104E-4</v>
      </c>
      <c r="T160">
        <v>6.2226732935654902E-3</v>
      </c>
      <c r="U160">
        <v>2.66341597323643E-3</v>
      </c>
      <c r="V160">
        <v>1.8356209260450201E-2</v>
      </c>
      <c r="W160">
        <v>6.2139105894625799E-3</v>
      </c>
      <c r="X160">
        <v>8.9631362861210896E-5</v>
      </c>
      <c r="Y160">
        <v>2.26669454783657E-4</v>
      </c>
      <c r="Z160">
        <v>2.9720492372224E-4</v>
      </c>
      <c r="AA160">
        <v>5.3092234018830998E-3</v>
      </c>
      <c r="AB160">
        <v>3.8693944108107101E-3</v>
      </c>
      <c r="AC160">
        <v>2.61100077060694E-5</v>
      </c>
      <c r="AD160">
        <v>1.1847262193567E-4</v>
      </c>
      <c r="AE160">
        <v>5.3887371469829104E-3</v>
      </c>
      <c r="AF160">
        <v>0</v>
      </c>
      <c r="AG160">
        <v>0</v>
      </c>
      <c r="AH160">
        <v>0</v>
      </c>
      <c r="AI160">
        <v>3.1478497871536898E-5</v>
      </c>
      <c r="AJ160">
        <v>1.2805100755047599E-4</v>
      </c>
      <c r="AK160">
        <v>0</v>
      </c>
      <c r="AL160">
        <v>0</v>
      </c>
      <c r="AM160">
        <v>0</v>
      </c>
      <c r="AN160">
        <v>0</v>
      </c>
      <c r="AO160">
        <v>5.1434793432245201E-5</v>
      </c>
      <c r="AP160">
        <v>1.97896448355508E-5</v>
      </c>
      <c r="AQ160">
        <v>0</v>
      </c>
      <c r="AR160">
        <v>4.9762478161500197E-5</v>
      </c>
      <c r="AS160">
        <v>0</v>
      </c>
      <c r="AT160">
        <v>4.1333958585949099E-2</v>
      </c>
      <c r="AU160">
        <v>0</v>
      </c>
      <c r="AV160">
        <v>0</v>
      </c>
      <c r="AW160">
        <v>1.20839800609894E-4</v>
      </c>
      <c r="AX160">
        <v>0</v>
      </c>
      <c r="AY160">
        <v>1.3641810110463201E-4</v>
      </c>
      <c r="AZ160">
        <v>1.5456458778910399E-5</v>
      </c>
      <c r="BA160">
        <v>0</v>
      </c>
      <c r="BB160">
        <v>0</v>
      </c>
      <c r="BC160">
        <v>8.8808390645428795E-4</v>
      </c>
      <c r="BD160">
        <v>2.5327597740788902E-4</v>
      </c>
      <c r="BE160">
        <v>0</v>
      </c>
      <c r="BF160">
        <v>0</v>
      </c>
      <c r="BG160">
        <v>3.1705893755783103E-5</v>
      </c>
      <c r="BH160">
        <v>4.3660027005301E-4</v>
      </c>
      <c r="BI160">
        <v>0</v>
      </c>
      <c r="BJ160">
        <v>8.9508442456207003E-3</v>
      </c>
      <c r="BK160">
        <v>8.9306897018136096E-5</v>
      </c>
      <c r="BL160">
        <v>0</v>
      </c>
      <c r="BM160">
        <v>0</v>
      </c>
      <c r="BN160">
        <v>2.8969366620904899E-5</v>
      </c>
      <c r="BO160">
        <v>0</v>
      </c>
      <c r="BP160">
        <v>0</v>
      </c>
      <c r="BQ160">
        <v>0</v>
      </c>
      <c r="BR160">
        <v>0</v>
      </c>
      <c r="BS160">
        <v>5.05262422518344E-5</v>
      </c>
      <c r="BT160">
        <v>0</v>
      </c>
      <c r="BU160">
        <v>6.9842053494192696E-4</v>
      </c>
      <c r="BV160">
        <v>0</v>
      </c>
      <c r="BW160">
        <v>0</v>
      </c>
      <c r="BX160">
        <v>5.3000137950719201E-5</v>
      </c>
      <c r="BY160">
        <v>3.7594126634939703E-5</v>
      </c>
      <c r="BZ160">
        <v>1.4884217237764999E-4</v>
      </c>
      <c r="CA160">
        <v>6.2290095971474801E-4</v>
      </c>
      <c r="CB160">
        <v>3.2255739273791803E-5</v>
      </c>
      <c r="CC160">
        <v>3.6151639698948198E-5</v>
      </c>
      <c r="CD160">
        <v>7.6734205354157001E-4</v>
      </c>
      <c r="CE160">
        <v>7.6054514793062495E-4</v>
      </c>
      <c r="CF160">
        <v>1.5167988824018501E-4</v>
      </c>
      <c r="CG160">
        <v>1.9126257567877501E-5</v>
      </c>
      <c r="CH160">
        <v>7.9221488838413E-4</v>
      </c>
      <c r="CI160">
        <v>0</v>
      </c>
      <c r="CJ160">
        <f>MAX(E160:CI160)</f>
        <v>4.1333958585949099E-2</v>
      </c>
    </row>
    <row r="161" spans="1:88" x14ac:dyDescent="0.2">
      <c r="A161" t="s">
        <v>301</v>
      </c>
      <c r="B161" t="s">
        <v>301</v>
      </c>
      <c r="C161" t="s">
        <v>299</v>
      </c>
      <c r="D161" t="s">
        <v>148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2.5717455675920799E-5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f>MAX(E161:CI161)</f>
        <v>2.5717455675920799E-5</v>
      </c>
    </row>
    <row r="162" spans="1:88" x14ac:dyDescent="0.2">
      <c r="A162" t="s">
        <v>302</v>
      </c>
      <c r="B162" t="s">
        <v>303</v>
      </c>
      <c r="C162" t="s">
        <v>116</v>
      </c>
      <c r="D162" t="s">
        <v>89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5.9939760042881799E-4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2.0547311266179699E-5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4.9786890185963497E-5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f>MAX(E162:CI162)</f>
        <v>5.9939760042881799E-4</v>
      </c>
    </row>
    <row r="163" spans="1:88" x14ac:dyDescent="0.2">
      <c r="A163" t="s">
        <v>304</v>
      </c>
      <c r="B163" t="s">
        <v>304</v>
      </c>
      <c r="C163" t="s">
        <v>305</v>
      </c>
      <c r="D163" t="s">
        <v>255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5.93003149564827E-5</v>
      </c>
      <c r="V163">
        <v>0</v>
      </c>
      <c r="W163">
        <v>5.9275742125306497E-5</v>
      </c>
      <c r="X163">
        <v>0</v>
      </c>
      <c r="Y163">
        <v>0</v>
      </c>
      <c r="Z163">
        <v>0</v>
      </c>
      <c r="AA163">
        <v>0</v>
      </c>
      <c r="AB163">
        <v>1.2326790074495899E-4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7.5322200634647806E-5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4.88557854736919E-5</v>
      </c>
      <c r="CF163">
        <v>0</v>
      </c>
      <c r="CG163">
        <v>0</v>
      </c>
      <c r="CH163">
        <v>0</v>
      </c>
      <c r="CI163">
        <v>0</v>
      </c>
      <c r="CJ163">
        <f>MAX(E163:CI163)</f>
        <v>1.2326790074495899E-4</v>
      </c>
    </row>
    <row r="164" spans="1:88" x14ac:dyDescent="0.2">
      <c r="A164" t="s">
        <v>306</v>
      </c>
      <c r="B164" t="s">
        <v>306</v>
      </c>
      <c r="C164" t="s">
        <v>305</v>
      </c>
      <c r="D164" t="s">
        <v>255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2.7198001913695699E-5</v>
      </c>
      <c r="R164">
        <v>0</v>
      </c>
      <c r="S164">
        <v>3.1005447223159397E-5</v>
      </c>
      <c r="T164">
        <v>2.8687387515695902E-5</v>
      </c>
      <c r="U164">
        <v>3.2431347971770601E-5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1.0978600959106199E-5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7.5146022810968502E-5</v>
      </c>
      <c r="BD164">
        <v>0</v>
      </c>
      <c r="BE164">
        <v>0</v>
      </c>
      <c r="BF164">
        <v>2.9017834538403501E-5</v>
      </c>
      <c r="BG164">
        <v>0</v>
      </c>
      <c r="BH164">
        <v>0</v>
      </c>
      <c r="BI164">
        <v>0</v>
      </c>
      <c r="BJ164">
        <v>8.8706817804133997E-5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f>MAX(E164:CI164)</f>
        <v>8.8706817804133997E-5</v>
      </c>
    </row>
    <row r="165" spans="1:88" x14ac:dyDescent="0.2">
      <c r="A165" t="s">
        <v>307</v>
      </c>
      <c r="B165" t="s">
        <v>307</v>
      </c>
      <c r="C165" t="s">
        <v>305</v>
      </c>
      <c r="D165" t="s">
        <v>119</v>
      </c>
      <c r="E165">
        <v>1.0327328699034301E-5</v>
      </c>
      <c r="F165">
        <v>3.4890323804731102E-5</v>
      </c>
      <c r="G165">
        <v>1.22508437271295E-5</v>
      </c>
      <c r="H165">
        <v>5.7190250656499002E-5</v>
      </c>
      <c r="I165">
        <v>1.77682231560623E-5</v>
      </c>
      <c r="J165">
        <v>0</v>
      </c>
      <c r="K165">
        <v>2.54249437052017E-5</v>
      </c>
      <c r="L165">
        <v>2.7892664303675301E-5</v>
      </c>
      <c r="M165">
        <v>1.5648005857049298E-5</v>
      </c>
      <c r="N165">
        <v>3.30327704967056E-5</v>
      </c>
      <c r="O165">
        <v>0</v>
      </c>
      <c r="P165">
        <v>4.2627513440081897E-5</v>
      </c>
      <c r="Q165">
        <v>7.8132730169178192E-6</v>
      </c>
      <c r="R165">
        <v>1.9334814065145299E-5</v>
      </c>
      <c r="S165">
        <v>3.1609891125930298E-5</v>
      </c>
      <c r="T165">
        <v>1.72085786076734E-5</v>
      </c>
      <c r="U165">
        <v>1.1607321133538401E-4</v>
      </c>
      <c r="V165">
        <v>2.9294966114823099E-5</v>
      </c>
      <c r="W165">
        <v>8.3998010522808703E-5</v>
      </c>
      <c r="X165">
        <v>2.1902767847639798E-5</v>
      </c>
      <c r="Y165">
        <v>9.3833086060843301E-5</v>
      </c>
      <c r="Z165">
        <v>7.40285085920569E-5</v>
      </c>
      <c r="AA165">
        <v>0</v>
      </c>
      <c r="AB165">
        <v>0</v>
      </c>
      <c r="AC165">
        <v>5.2828344346166899E-5</v>
      </c>
      <c r="AD165">
        <v>0</v>
      </c>
      <c r="AE165">
        <v>8.1956423887516301E-5</v>
      </c>
      <c r="AF165">
        <v>7.6559660691125693E-5</v>
      </c>
      <c r="AG165">
        <v>1.2916861413295999E-4</v>
      </c>
      <c r="AH165">
        <v>4.8255742233521299E-5</v>
      </c>
      <c r="AI165">
        <v>1.2775502756307499E-4</v>
      </c>
      <c r="AJ165">
        <v>9.7978999409646406E-5</v>
      </c>
      <c r="AK165">
        <v>8.6446815598711403E-5</v>
      </c>
      <c r="AL165">
        <v>4.7964950432323701E-5</v>
      </c>
      <c r="AM165">
        <v>9.7847785249250403E-5</v>
      </c>
      <c r="AN165">
        <v>2.21296222176043E-4</v>
      </c>
      <c r="AO165">
        <v>7.8910900607691696E-5</v>
      </c>
      <c r="AP165">
        <v>3.2709431799861398E-5</v>
      </c>
      <c r="AQ165">
        <v>5.7042033585525502E-3</v>
      </c>
      <c r="AR165">
        <v>0</v>
      </c>
      <c r="AS165">
        <v>9.2854295652819706E-5</v>
      </c>
      <c r="AT165">
        <v>8.6222577237713495E-5</v>
      </c>
      <c r="AU165">
        <v>4.7981188357113198E-5</v>
      </c>
      <c r="AV165">
        <v>4.7836236020815401E-5</v>
      </c>
      <c r="AW165">
        <v>0</v>
      </c>
      <c r="AX165">
        <v>7.1389937213081899E-5</v>
      </c>
      <c r="AY165">
        <v>3.1583045065223403E-5</v>
      </c>
      <c r="AZ165">
        <v>2.0911442881334901E-5</v>
      </c>
      <c r="BA165">
        <v>2.7139634840539301E-5</v>
      </c>
      <c r="BB165">
        <v>0</v>
      </c>
      <c r="BC165">
        <v>0</v>
      </c>
      <c r="BD165">
        <v>4.0548052487858297E-5</v>
      </c>
      <c r="BE165">
        <v>3.84120955058089E-5</v>
      </c>
      <c r="BF165">
        <v>9.4894490858162808E-6</v>
      </c>
      <c r="BG165">
        <v>2.4729822545895501E-5</v>
      </c>
      <c r="BH165">
        <v>8.7512683236727894E-5</v>
      </c>
      <c r="BI165">
        <v>2.1494482820298199E-5</v>
      </c>
      <c r="BJ165">
        <v>5.7334232072867498E-5</v>
      </c>
      <c r="BK165">
        <v>2.6199077525639701E-5</v>
      </c>
      <c r="BL165">
        <v>0</v>
      </c>
      <c r="BM165">
        <v>2.55217235439385E-5</v>
      </c>
      <c r="BN165">
        <v>2.8295149961805902E-5</v>
      </c>
      <c r="BO165">
        <v>3.1663870450913298E-5</v>
      </c>
      <c r="BP165">
        <v>2.8064673883117302E-5</v>
      </c>
      <c r="BQ165">
        <v>1.6901568114840802E-5</v>
      </c>
      <c r="BR165">
        <v>4.1013987998464402E-5</v>
      </c>
      <c r="BS165">
        <v>6.4772103325482796E-5</v>
      </c>
      <c r="BT165">
        <v>1.6347938678731101E-4</v>
      </c>
      <c r="BU165">
        <v>3.0421806524690799E-5</v>
      </c>
      <c r="BV165">
        <v>2.7903841733190399E-5</v>
      </c>
      <c r="BW165">
        <v>2.4310450114694899E-5</v>
      </c>
      <c r="BX165">
        <v>4.4318596651297601E-5</v>
      </c>
      <c r="BY165">
        <v>6.6882269270317294E-5</v>
      </c>
      <c r="BZ165">
        <v>2.7310584814944299E-5</v>
      </c>
      <c r="CA165">
        <v>2.7296627924551599E-5</v>
      </c>
      <c r="CB165">
        <v>4.1820767617298199E-5</v>
      </c>
      <c r="CC165">
        <v>3.6402230893791E-5</v>
      </c>
      <c r="CD165">
        <v>5.9347851318761199E-5</v>
      </c>
      <c r="CE165">
        <v>4.4841486389584702E-5</v>
      </c>
      <c r="CF165">
        <v>0</v>
      </c>
      <c r="CG165">
        <v>2.8162746111129001E-5</v>
      </c>
      <c r="CH165">
        <v>8.92951764936998E-5</v>
      </c>
      <c r="CI165">
        <v>5.0036508796959202E-5</v>
      </c>
      <c r="CJ165">
        <f>MAX(E165:CI165)</f>
        <v>5.7042033585525502E-3</v>
      </c>
    </row>
    <row r="166" spans="1:88" x14ac:dyDescent="0.2">
      <c r="A166" t="s">
        <v>308</v>
      </c>
      <c r="B166" t="s">
        <v>308</v>
      </c>
      <c r="C166" t="s">
        <v>305</v>
      </c>
      <c r="D166" t="s">
        <v>255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3.4657800701798197E-5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7.2441093937544599E-5</v>
      </c>
      <c r="T166">
        <v>0</v>
      </c>
      <c r="U166">
        <v>0</v>
      </c>
      <c r="V166">
        <v>2.93490467478319E-5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6.4463220720445701E-5</v>
      </c>
      <c r="AC166">
        <v>1.0265804750959099E-5</v>
      </c>
      <c r="AD166">
        <v>0</v>
      </c>
      <c r="AE166">
        <v>2.89117912820302E-5</v>
      </c>
      <c r="AF166">
        <v>2.8243011313687099E-5</v>
      </c>
      <c r="AG166">
        <v>0</v>
      </c>
      <c r="AH166">
        <v>0</v>
      </c>
      <c r="AI166">
        <v>0</v>
      </c>
      <c r="AJ166">
        <v>5.0499025797174501E-5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3.60895112024241E-5</v>
      </c>
      <c r="AT166">
        <v>1.9361277070674099E-5</v>
      </c>
      <c r="AU166">
        <v>0</v>
      </c>
      <c r="AV166">
        <v>0</v>
      </c>
      <c r="AW166">
        <v>3.3735177533543701E-5</v>
      </c>
      <c r="AX166">
        <v>3.6712841557214299E-5</v>
      </c>
      <c r="AY166">
        <v>0</v>
      </c>
      <c r="AZ166">
        <v>0</v>
      </c>
      <c r="BA166">
        <v>0</v>
      </c>
      <c r="BB166">
        <v>0</v>
      </c>
      <c r="BC166">
        <v>8.8569052769652904E-5</v>
      </c>
      <c r="BD166">
        <v>0</v>
      </c>
      <c r="BE166">
        <v>0</v>
      </c>
      <c r="BF166">
        <v>0</v>
      </c>
      <c r="BG166">
        <v>2.3524749088327599E-5</v>
      </c>
      <c r="BH166">
        <v>5.5267013886994898E-5</v>
      </c>
      <c r="BI166">
        <v>0</v>
      </c>
      <c r="BJ166">
        <v>2.65352998781687E-5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1.6302079247705201E-5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f>MAX(E166:CI166)</f>
        <v>8.8569052769652904E-5</v>
      </c>
    </row>
    <row r="167" spans="1:88" x14ac:dyDescent="0.2">
      <c r="A167" t="s">
        <v>309</v>
      </c>
      <c r="B167" t="s">
        <v>309</v>
      </c>
      <c r="C167" t="s">
        <v>305</v>
      </c>
      <c r="D167" t="s">
        <v>119</v>
      </c>
      <c r="E167">
        <v>0</v>
      </c>
      <c r="F167">
        <v>1.3218707720984301E-4</v>
      </c>
      <c r="G167">
        <v>0</v>
      </c>
      <c r="H167">
        <v>0</v>
      </c>
      <c r="I167">
        <v>0</v>
      </c>
      <c r="J167">
        <v>1.4051445394139701E-4</v>
      </c>
      <c r="K167">
        <v>3.6102643259996098E-4</v>
      </c>
      <c r="L167">
        <v>1.0410461922162E-4</v>
      </c>
      <c r="M167">
        <v>0</v>
      </c>
      <c r="N167">
        <v>3.7898149094233401E-5</v>
      </c>
      <c r="O167">
        <v>9.4266416963471503E-5</v>
      </c>
      <c r="P167">
        <v>0</v>
      </c>
      <c r="Q167">
        <v>0</v>
      </c>
      <c r="R167">
        <v>0</v>
      </c>
      <c r="S167">
        <v>3.4757057310488501E-5</v>
      </c>
      <c r="T167">
        <v>0</v>
      </c>
      <c r="U167">
        <v>0</v>
      </c>
      <c r="V167">
        <v>0</v>
      </c>
      <c r="W167">
        <v>0</v>
      </c>
      <c r="X167">
        <v>7.7873375493459302E-5</v>
      </c>
      <c r="Y167">
        <v>3.03088877997293E-4</v>
      </c>
      <c r="Z167">
        <v>0</v>
      </c>
      <c r="AA167">
        <v>5.4275270925915604E-4</v>
      </c>
      <c r="AB167">
        <v>0</v>
      </c>
      <c r="AC167">
        <v>5.4815578269574105E-4</v>
      </c>
      <c r="AD167">
        <v>1.9938891036148999E-4</v>
      </c>
      <c r="AE167">
        <v>6.1272697450455698E-4</v>
      </c>
      <c r="AF167">
        <v>0</v>
      </c>
      <c r="AG167">
        <v>0</v>
      </c>
      <c r="AH167">
        <v>9.7600715175719997E-5</v>
      </c>
      <c r="AI167">
        <v>0</v>
      </c>
      <c r="AJ167">
        <v>1.8972781273147199E-4</v>
      </c>
      <c r="AK167">
        <v>2.3218277634336201E-4</v>
      </c>
      <c r="AL167">
        <v>2.81689072613071E-4</v>
      </c>
      <c r="AM167">
        <v>3.3272466770480302E-4</v>
      </c>
      <c r="AN167">
        <v>0</v>
      </c>
      <c r="AO167">
        <v>8.6410993815858907E-5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5.8963601175264296E-4</v>
      </c>
      <c r="AV167">
        <v>0</v>
      </c>
      <c r="AW167">
        <v>0</v>
      </c>
      <c r="AX167">
        <v>6.0965339975005504E-4</v>
      </c>
      <c r="AY167">
        <v>8.48680063100073E-4</v>
      </c>
      <c r="AZ167">
        <v>6.1692731579520398E-4</v>
      </c>
      <c r="BA167">
        <v>1.4881201591749201E-3</v>
      </c>
      <c r="BB167">
        <v>2.35263200051364E-4</v>
      </c>
      <c r="BC167">
        <v>3.5618366636932201E-4</v>
      </c>
      <c r="BD167">
        <v>8.2441711650486904E-4</v>
      </c>
      <c r="BE167">
        <v>4.00585292392589E-4</v>
      </c>
      <c r="BF167">
        <v>3.17779589724867E-4</v>
      </c>
      <c r="BG167">
        <v>0</v>
      </c>
      <c r="BH167">
        <v>7.29969979770889E-4</v>
      </c>
      <c r="BI167">
        <v>0</v>
      </c>
      <c r="BJ167">
        <v>2.6065796480402603E-4</v>
      </c>
      <c r="BK167">
        <v>2.05309478566765E-4</v>
      </c>
      <c r="BL167">
        <v>0</v>
      </c>
      <c r="BM167">
        <v>0</v>
      </c>
      <c r="BN167">
        <v>3.9811908751512698E-4</v>
      </c>
      <c r="BO167">
        <v>5.4413041232219102E-4</v>
      </c>
      <c r="BP167">
        <v>2.6331645524171399E-4</v>
      </c>
      <c r="BQ167">
        <v>3.4364260296876797E-4</v>
      </c>
      <c r="BR167">
        <v>1.05500131267334E-3</v>
      </c>
      <c r="BS167">
        <v>4.1022393859307699E-4</v>
      </c>
      <c r="BT167">
        <v>0</v>
      </c>
      <c r="BU167">
        <v>1.54355105883087E-4</v>
      </c>
      <c r="BV167">
        <v>1.5089713703398701E-4</v>
      </c>
      <c r="BW167">
        <v>2.09531827091004E-4</v>
      </c>
      <c r="BX167">
        <v>2.5446320917287002E-4</v>
      </c>
      <c r="BY167">
        <v>0</v>
      </c>
      <c r="BZ167">
        <v>0</v>
      </c>
      <c r="CA167">
        <v>3.1100616641314797E-4</v>
      </c>
      <c r="CB167">
        <v>4.2279612668498598E-4</v>
      </c>
      <c r="CC167">
        <v>3.8567279036625101E-4</v>
      </c>
      <c r="CD167">
        <v>1.96964519084017E-4</v>
      </c>
      <c r="CE167">
        <v>3.3391044164464E-4</v>
      </c>
      <c r="CF167">
        <v>0</v>
      </c>
      <c r="CG167">
        <v>0</v>
      </c>
      <c r="CH167">
        <v>0</v>
      </c>
      <c r="CI167">
        <v>0</v>
      </c>
      <c r="CJ167">
        <f>MAX(E167:CI167)</f>
        <v>1.4881201591749201E-3</v>
      </c>
    </row>
    <row r="168" spans="1:88" x14ac:dyDescent="0.2">
      <c r="A168" t="s">
        <v>310</v>
      </c>
      <c r="B168" t="s">
        <v>310</v>
      </c>
      <c r="C168" t="s">
        <v>305</v>
      </c>
      <c r="D168" t="s">
        <v>119</v>
      </c>
      <c r="E168">
        <v>1.9570143041421299E-3</v>
      </c>
      <c r="F168">
        <v>3.5383109789486901E-3</v>
      </c>
      <c r="G168">
        <v>3.9818417875406098E-3</v>
      </c>
      <c r="H168">
        <v>6.5656994699473904E-3</v>
      </c>
      <c r="I168">
        <v>1.1992065722581E-3</v>
      </c>
      <c r="J168">
        <v>7.6472273176305002E-4</v>
      </c>
      <c r="K168">
        <v>3.1291472466790202E-3</v>
      </c>
      <c r="L168">
        <v>1.23140808303695E-3</v>
      </c>
      <c r="M168">
        <v>5.6820362488459099E-4</v>
      </c>
      <c r="N168">
        <v>0</v>
      </c>
      <c r="O168">
        <v>6.3901786517112904E-4</v>
      </c>
      <c r="P168">
        <v>1.2598446614174399E-3</v>
      </c>
      <c r="Q168">
        <v>0</v>
      </c>
      <c r="R168">
        <v>1.8321794174290501E-3</v>
      </c>
      <c r="S168">
        <v>1.83412951654191E-3</v>
      </c>
      <c r="T168">
        <v>0</v>
      </c>
      <c r="U168">
        <v>2.3253214618327799E-3</v>
      </c>
      <c r="V168">
        <v>0</v>
      </c>
      <c r="W168">
        <v>2.2587803448699401E-3</v>
      </c>
      <c r="X168">
        <v>8.5511199795274299E-4</v>
      </c>
      <c r="Y168">
        <v>1.5959489670671601E-3</v>
      </c>
      <c r="Z168">
        <v>2.85812356055611E-3</v>
      </c>
      <c r="AA168">
        <v>0</v>
      </c>
      <c r="AB168">
        <v>0</v>
      </c>
      <c r="AC168">
        <v>3.7168668194991999E-3</v>
      </c>
      <c r="AD168">
        <v>3.2889176539462402E-3</v>
      </c>
      <c r="AE168">
        <v>9.1176517448884001E-3</v>
      </c>
      <c r="AF168">
        <v>4.4078722581161198E-3</v>
      </c>
      <c r="AG168">
        <v>2.4308994759378402E-3</v>
      </c>
      <c r="AH168">
        <v>1.8384041850563399E-3</v>
      </c>
      <c r="AI168">
        <v>1.68913359637643E-3</v>
      </c>
      <c r="AJ168">
        <v>2.10244672599836E-3</v>
      </c>
      <c r="AK168">
        <v>2.1532576557837398E-3</v>
      </c>
      <c r="AL168">
        <v>2.9361281037718198E-3</v>
      </c>
      <c r="AM168">
        <v>2.6736465870815002E-3</v>
      </c>
      <c r="AN168">
        <v>0</v>
      </c>
      <c r="AO168">
        <v>6.0153790645832796E-4</v>
      </c>
      <c r="AP168">
        <v>1.47423595853184E-3</v>
      </c>
      <c r="AQ168">
        <v>5.9353864376379499E-4</v>
      </c>
      <c r="AR168">
        <v>1.5977469603742299E-3</v>
      </c>
      <c r="AS168">
        <v>3.3147593171331102E-3</v>
      </c>
      <c r="AT168">
        <v>4.3605673634594701E-3</v>
      </c>
      <c r="AU168">
        <v>5.1319923461869803E-3</v>
      </c>
      <c r="AV168">
        <v>0</v>
      </c>
      <c r="AW168">
        <v>6.6957772893361002E-3</v>
      </c>
      <c r="AX168">
        <v>3.4346382329817201E-3</v>
      </c>
      <c r="AY168">
        <v>4.1050079260244099E-3</v>
      </c>
      <c r="AZ168">
        <v>3.1366351140885498E-3</v>
      </c>
      <c r="BA168">
        <v>8.4478851316196393E-3</v>
      </c>
      <c r="BB168">
        <v>4.2333580315463797E-3</v>
      </c>
      <c r="BC168">
        <v>3.9415859390814498E-3</v>
      </c>
      <c r="BD168">
        <v>5.2669597560576903E-3</v>
      </c>
      <c r="BE168">
        <v>2.9959323327476499E-3</v>
      </c>
      <c r="BF168">
        <v>1.64664507672064E-3</v>
      </c>
      <c r="BG168">
        <v>1.0255905251676501E-3</v>
      </c>
      <c r="BH168">
        <v>4.7723138807346703E-3</v>
      </c>
      <c r="BI168">
        <v>2.9852107714262999E-3</v>
      </c>
      <c r="BJ168">
        <v>4.8021088495605099E-3</v>
      </c>
      <c r="BK168">
        <v>2.1230684670570099E-3</v>
      </c>
      <c r="BL168">
        <v>3.7163790225894599E-3</v>
      </c>
      <c r="BM168">
        <v>1.48577826193201E-3</v>
      </c>
      <c r="BN168">
        <v>2.6695496342829601E-3</v>
      </c>
      <c r="BO168">
        <v>3.6992952940651099E-3</v>
      </c>
      <c r="BP168">
        <v>3.06113864432695E-3</v>
      </c>
      <c r="BQ168">
        <v>3.1108065162014599E-3</v>
      </c>
      <c r="BR168">
        <v>6.6388980580945898E-3</v>
      </c>
      <c r="BS168">
        <v>3.51786362983692E-3</v>
      </c>
      <c r="BT168">
        <v>0</v>
      </c>
      <c r="BU168">
        <v>1.4692442508626299E-3</v>
      </c>
      <c r="BV168">
        <v>7.8195002883925304E-4</v>
      </c>
      <c r="BW168">
        <v>2.0224463044283898E-3</v>
      </c>
      <c r="BX168">
        <v>2.78775112662098E-3</v>
      </c>
      <c r="BY168">
        <v>1.6554154341655201E-3</v>
      </c>
      <c r="BZ168">
        <v>3.7264045373741001E-3</v>
      </c>
      <c r="CA168">
        <v>2.1862005538990999E-3</v>
      </c>
      <c r="CB168">
        <v>4.61944712007428E-3</v>
      </c>
      <c r="CC168">
        <v>3.2667733199018699E-3</v>
      </c>
      <c r="CD168">
        <v>1.2727995116275201E-3</v>
      </c>
      <c r="CE168">
        <v>2.8366450772078599E-3</v>
      </c>
      <c r="CF168">
        <v>4.2383322618591802E-3</v>
      </c>
      <c r="CG168">
        <v>5.2819708487265799E-3</v>
      </c>
      <c r="CH168">
        <v>3.2606636352110999E-3</v>
      </c>
      <c r="CI168">
        <v>3.8493464468792502E-3</v>
      </c>
      <c r="CJ168">
        <f>MAX(E168:CI168)</f>
        <v>9.1176517448884001E-3</v>
      </c>
    </row>
    <row r="169" spans="1:88" x14ac:dyDescent="0.2">
      <c r="A169" t="s">
        <v>311</v>
      </c>
      <c r="B169" t="s">
        <v>311</v>
      </c>
      <c r="C169" t="s">
        <v>305</v>
      </c>
      <c r="D169" t="s">
        <v>119</v>
      </c>
      <c r="E169">
        <v>4.5507397545614602E-5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4.5111472157905E-5</v>
      </c>
      <c r="M169">
        <v>0</v>
      </c>
      <c r="N169">
        <v>0</v>
      </c>
      <c r="O169">
        <v>0</v>
      </c>
      <c r="P169">
        <v>0</v>
      </c>
      <c r="Q169">
        <v>1.0740982277418799E-3</v>
      </c>
      <c r="R169">
        <v>0</v>
      </c>
      <c r="S169">
        <v>1.1233471815253E-3</v>
      </c>
      <c r="T169">
        <v>1.7590735562240901E-4</v>
      </c>
      <c r="U169">
        <v>1.95497856492497E-4</v>
      </c>
      <c r="V169">
        <v>3.7831364004378199E-4</v>
      </c>
      <c r="W169">
        <v>0</v>
      </c>
      <c r="X169">
        <v>5.7316808483727501E-5</v>
      </c>
      <c r="Y169">
        <v>0</v>
      </c>
      <c r="Z169">
        <v>1.2798379977192799E-4</v>
      </c>
      <c r="AA169">
        <v>0</v>
      </c>
      <c r="AB169">
        <v>4.6324741013597101E-5</v>
      </c>
      <c r="AC169">
        <v>2.7279474499753299E-5</v>
      </c>
      <c r="AD169">
        <v>7.4779576279526096E-6</v>
      </c>
      <c r="AE169">
        <v>1.01801458466751E-5</v>
      </c>
      <c r="AF169">
        <v>5.1407087577604298E-5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4.1053954816502503E-5</v>
      </c>
      <c r="AQ169">
        <v>0</v>
      </c>
      <c r="AR169">
        <v>0</v>
      </c>
      <c r="AS169">
        <v>0</v>
      </c>
      <c r="AT169">
        <v>3.8586465566946602E-4</v>
      </c>
      <c r="AU169">
        <v>1.6412698816904799E-5</v>
      </c>
      <c r="AV169">
        <v>0</v>
      </c>
      <c r="AW169">
        <v>0</v>
      </c>
      <c r="AX169">
        <v>0</v>
      </c>
      <c r="AY169">
        <v>1.04939502269892E-5</v>
      </c>
      <c r="AZ169">
        <v>0</v>
      </c>
      <c r="BA169">
        <v>2.5668293705775001E-5</v>
      </c>
      <c r="BB169">
        <v>2.1780557908219001E-5</v>
      </c>
      <c r="BC169">
        <v>2.2429624344525202E-5</v>
      </c>
      <c r="BD169">
        <v>0</v>
      </c>
      <c r="BE169">
        <v>1.07690154492129E-4</v>
      </c>
      <c r="BF169">
        <v>0</v>
      </c>
      <c r="BG169">
        <v>0</v>
      </c>
      <c r="BH169">
        <v>1.3966320370194899E-5</v>
      </c>
      <c r="BI169">
        <v>0</v>
      </c>
      <c r="BJ169">
        <v>0</v>
      </c>
      <c r="BK169">
        <v>1.70252696856071E-4</v>
      </c>
      <c r="BL169">
        <v>2.9340938426785099E-5</v>
      </c>
      <c r="BM169">
        <v>1.67686461348389E-5</v>
      </c>
      <c r="BN169">
        <v>1.38744890976612E-5</v>
      </c>
      <c r="BO169">
        <v>1.2672345352593801E-5</v>
      </c>
      <c r="BP169">
        <v>0</v>
      </c>
      <c r="BQ169">
        <v>0</v>
      </c>
      <c r="BR169">
        <v>4.6738739962874E-5</v>
      </c>
      <c r="BS169">
        <v>0</v>
      </c>
      <c r="BT169">
        <v>0</v>
      </c>
      <c r="BU169">
        <v>0</v>
      </c>
      <c r="BV169">
        <v>0</v>
      </c>
      <c r="BW169">
        <v>1.1716340914149699E-5</v>
      </c>
      <c r="BX169">
        <v>0</v>
      </c>
      <c r="BY169">
        <v>0</v>
      </c>
      <c r="BZ169">
        <v>0</v>
      </c>
      <c r="CA169">
        <v>1.79565128232401E-5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f>MAX(E169:CI169)</f>
        <v>1.1233471815253E-3</v>
      </c>
    </row>
    <row r="170" spans="1:88" x14ac:dyDescent="0.2">
      <c r="A170" t="s">
        <v>312</v>
      </c>
      <c r="B170" t="s">
        <v>312</v>
      </c>
      <c r="C170" t="s">
        <v>305</v>
      </c>
      <c r="D170" t="s">
        <v>255</v>
      </c>
      <c r="E170">
        <v>0</v>
      </c>
      <c r="F170">
        <v>3.0335139748446E-5</v>
      </c>
      <c r="G170">
        <v>0</v>
      </c>
      <c r="H170">
        <v>1.12062162774987E-4</v>
      </c>
      <c r="I170">
        <v>0</v>
      </c>
      <c r="J170">
        <v>0</v>
      </c>
      <c r="K170">
        <v>0</v>
      </c>
      <c r="L170">
        <v>5.23354544891066E-5</v>
      </c>
      <c r="M170">
        <v>0</v>
      </c>
      <c r="N170">
        <v>0</v>
      </c>
      <c r="O170">
        <v>0</v>
      </c>
      <c r="P170">
        <v>0</v>
      </c>
      <c r="Q170">
        <v>2.38943378480937E-4</v>
      </c>
      <c r="R170">
        <v>5.0630008465234198E-5</v>
      </c>
      <c r="S170">
        <v>0</v>
      </c>
      <c r="T170">
        <v>4.6176817702471401E-5</v>
      </c>
      <c r="U170">
        <v>0</v>
      </c>
      <c r="V170">
        <v>2.6281188427579402E-5</v>
      </c>
      <c r="W170">
        <v>6.6341608944049394E-5</v>
      </c>
      <c r="X170">
        <v>0</v>
      </c>
      <c r="Y170">
        <v>0</v>
      </c>
      <c r="Z170">
        <v>3.50342641399858E-5</v>
      </c>
      <c r="AA170">
        <v>2.50847628738846E-5</v>
      </c>
      <c r="AB170">
        <v>1.15480591579148E-4</v>
      </c>
      <c r="AC170">
        <v>0</v>
      </c>
      <c r="AD170">
        <v>0</v>
      </c>
      <c r="AE170">
        <v>3.4077050667849197E-4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5.4579933224605598E-5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3.2758046872976401E-5</v>
      </c>
      <c r="BJ170">
        <v>2.7340156738020997E-4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5.3135038550014498E-5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f>MAX(E170:CI170)</f>
        <v>3.4077050667849197E-4</v>
      </c>
    </row>
    <row r="171" spans="1:88" x14ac:dyDescent="0.2">
      <c r="A171" t="s">
        <v>313</v>
      </c>
      <c r="B171" t="s">
        <v>313</v>
      </c>
      <c r="C171" t="s">
        <v>305</v>
      </c>
      <c r="D171" t="s">
        <v>255</v>
      </c>
      <c r="E171">
        <v>0</v>
      </c>
      <c r="F171">
        <v>0</v>
      </c>
      <c r="G171">
        <v>0</v>
      </c>
      <c r="H171">
        <v>3.11832947671783E-5</v>
      </c>
      <c r="I171">
        <v>0</v>
      </c>
      <c r="J171">
        <v>0</v>
      </c>
      <c r="K171">
        <v>0</v>
      </c>
      <c r="L171">
        <v>0</v>
      </c>
      <c r="M171">
        <v>3.6326620758136602E-5</v>
      </c>
      <c r="N171">
        <v>0</v>
      </c>
      <c r="O171">
        <v>0</v>
      </c>
      <c r="P171">
        <v>3.4061831797325603E-5</v>
      </c>
      <c r="Q171">
        <v>2.8622067395181702E-5</v>
      </c>
      <c r="R171">
        <v>1.55703724068697E-5</v>
      </c>
      <c r="S171">
        <v>3.4428254128180403E-5</v>
      </c>
      <c r="T171">
        <v>0</v>
      </c>
      <c r="U171">
        <v>3.3763619707411297E-5</v>
      </c>
      <c r="V171">
        <v>2.67301256349512E-5</v>
      </c>
      <c r="W171">
        <v>2.82555002060021E-5</v>
      </c>
      <c r="X171">
        <v>0</v>
      </c>
      <c r="Y171">
        <v>0</v>
      </c>
      <c r="Z171">
        <v>0</v>
      </c>
      <c r="AA171">
        <v>0</v>
      </c>
      <c r="AB171">
        <v>7.2076717518299502E-5</v>
      </c>
      <c r="AC171">
        <v>0</v>
      </c>
      <c r="AD171">
        <v>0</v>
      </c>
      <c r="AE171">
        <v>2.0190078151104899E-5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2.1613893141647799E-5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3.8716848581879901E-5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f>MAX(E171:CI171)</f>
        <v>7.2076717518299502E-5</v>
      </c>
    </row>
    <row r="172" spans="1:88" x14ac:dyDescent="0.2">
      <c r="A172" t="s">
        <v>314</v>
      </c>
      <c r="B172" t="s">
        <v>314</v>
      </c>
      <c r="C172" t="s">
        <v>305</v>
      </c>
      <c r="D172" t="s">
        <v>119</v>
      </c>
      <c r="E172">
        <v>2.4005237107853999E-5</v>
      </c>
      <c r="F172">
        <v>0</v>
      </c>
      <c r="G172">
        <v>3.2275798836432602E-5</v>
      </c>
      <c r="H172">
        <v>0</v>
      </c>
      <c r="I172">
        <v>0</v>
      </c>
      <c r="J172">
        <v>1.87467505253854E-4</v>
      </c>
      <c r="K172">
        <v>0</v>
      </c>
      <c r="L172">
        <v>1.4657199530406301E-4</v>
      </c>
      <c r="M172">
        <v>3.94410982948319E-5</v>
      </c>
      <c r="N172">
        <v>1.2749319360620101E-4</v>
      </c>
      <c r="O172">
        <v>1.10046947366723E-4</v>
      </c>
      <c r="P172">
        <v>2.2767901297073901E-5</v>
      </c>
      <c r="Q172">
        <v>5.13293778118798E-5</v>
      </c>
      <c r="R172">
        <v>0</v>
      </c>
      <c r="S172">
        <v>3.0996024821323903E-5</v>
      </c>
      <c r="T172">
        <v>0</v>
      </c>
      <c r="U172">
        <v>5.6299689543006702E-5</v>
      </c>
      <c r="V172">
        <v>0</v>
      </c>
      <c r="W172">
        <v>5.4257402667360297E-5</v>
      </c>
      <c r="X172">
        <v>4.97312070122111E-5</v>
      </c>
      <c r="Y172">
        <v>2.2130590390208899E-5</v>
      </c>
      <c r="Z172">
        <v>7.7375238376801395E-5</v>
      </c>
      <c r="AA172">
        <v>0</v>
      </c>
      <c r="AB172">
        <v>0</v>
      </c>
      <c r="AC172">
        <v>3.8571897144065797E-5</v>
      </c>
      <c r="AD172">
        <v>8.98154396243237E-5</v>
      </c>
      <c r="AE172">
        <v>0</v>
      </c>
      <c r="AF172">
        <v>3.05593420824078E-5</v>
      </c>
      <c r="AG172">
        <v>0</v>
      </c>
      <c r="AH172">
        <v>3.80676440670897E-5</v>
      </c>
      <c r="AI172">
        <v>0</v>
      </c>
      <c r="AJ172">
        <v>4.4768753246863601E-5</v>
      </c>
      <c r="AK172">
        <v>0</v>
      </c>
      <c r="AL172">
        <v>0</v>
      </c>
      <c r="AM172">
        <v>0</v>
      </c>
      <c r="AN172">
        <v>5.8225871823127402E-5</v>
      </c>
      <c r="AO172">
        <v>1.6083256935409099E-4</v>
      </c>
      <c r="AP172">
        <v>8.6487431571563995E-5</v>
      </c>
      <c r="AQ172">
        <v>0</v>
      </c>
      <c r="AR172">
        <v>1.26857164541333E-4</v>
      </c>
      <c r="AS172">
        <v>0</v>
      </c>
      <c r="AT172">
        <v>1.7853608204623099E-5</v>
      </c>
      <c r="AU172">
        <v>1.4914510355104301E-5</v>
      </c>
      <c r="AV172">
        <v>0</v>
      </c>
      <c r="AW172">
        <v>1.25225565045812E-4</v>
      </c>
      <c r="AX172">
        <v>1.7121980574809001E-4</v>
      </c>
      <c r="AY172">
        <v>0</v>
      </c>
      <c r="AZ172">
        <v>0</v>
      </c>
      <c r="BA172">
        <v>2.30524452904521E-5</v>
      </c>
      <c r="BB172">
        <v>0</v>
      </c>
      <c r="BC172">
        <v>0</v>
      </c>
      <c r="BD172">
        <v>5.0476007940435801E-5</v>
      </c>
      <c r="BE172">
        <v>4.08965808098208E-5</v>
      </c>
      <c r="BF172">
        <v>0</v>
      </c>
      <c r="BG172">
        <v>3.2600930805186298E-5</v>
      </c>
      <c r="BH172">
        <v>0</v>
      </c>
      <c r="BI172">
        <v>3.26230078036491E-5</v>
      </c>
      <c r="BJ172">
        <v>2.8268189889895001E-5</v>
      </c>
      <c r="BK172">
        <v>0</v>
      </c>
      <c r="BL172">
        <v>8.0272169365775195E-5</v>
      </c>
      <c r="BM172">
        <v>4.6778791726263798E-5</v>
      </c>
      <c r="BN172">
        <v>0</v>
      </c>
      <c r="BO172">
        <v>0</v>
      </c>
      <c r="BP172">
        <v>0</v>
      </c>
      <c r="BQ172">
        <v>3.7132911284509702E-5</v>
      </c>
      <c r="BR172">
        <v>0</v>
      </c>
      <c r="BS172">
        <v>0</v>
      </c>
      <c r="BT172">
        <v>0</v>
      </c>
      <c r="BU172">
        <v>0</v>
      </c>
      <c r="BV172">
        <v>4.5358324114347498E-5</v>
      </c>
      <c r="BW172">
        <v>0</v>
      </c>
      <c r="BX172">
        <v>4.9322717885155401E-5</v>
      </c>
      <c r="BY172">
        <v>0</v>
      </c>
      <c r="BZ172">
        <v>6.8647859483561099E-5</v>
      </c>
      <c r="CA172">
        <v>0</v>
      </c>
      <c r="CB172">
        <v>0</v>
      </c>
      <c r="CC172">
        <v>0</v>
      </c>
      <c r="CD172">
        <v>1.08418651183399E-4</v>
      </c>
      <c r="CE172">
        <v>2.8123087623650199E-5</v>
      </c>
      <c r="CF172">
        <v>0</v>
      </c>
      <c r="CG172">
        <v>6.7019626008449305E-5</v>
      </c>
      <c r="CH172">
        <v>2.2414239080225201E-4</v>
      </c>
      <c r="CI172">
        <v>0</v>
      </c>
      <c r="CJ172">
        <f>MAX(E172:CI172)</f>
        <v>2.2414239080225201E-4</v>
      </c>
    </row>
    <row r="173" spans="1:88" x14ac:dyDescent="0.2">
      <c r="A173" t="s">
        <v>316</v>
      </c>
      <c r="B173" t="s">
        <v>316</v>
      </c>
      <c r="C173" t="s">
        <v>305</v>
      </c>
      <c r="D173" t="s">
        <v>124</v>
      </c>
      <c r="E173">
        <v>2.4839680189170003E-4</v>
      </c>
      <c r="F173">
        <v>1.41062962390917E-4</v>
      </c>
      <c r="G173">
        <v>0</v>
      </c>
      <c r="H173">
        <v>2.1153878227297E-4</v>
      </c>
      <c r="I173">
        <v>7.2984056825797599E-5</v>
      </c>
      <c r="J173">
        <v>1.03099367272902E-5</v>
      </c>
      <c r="K173">
        <v>1.0460633828322001E-4</v>
      </c>
      <c r="L173">
        <v>9.2001519452089801E-6</v>
      </c>
      <c r="M173">
        <v>0</v>
      </c>
      <c r="N173">
        <v>1.1794295375003E-5</v>
      </c>
      <c r="O173">
        <v>0</v>
      </c>
      <c r="P173">
        <v>1.7998362724952101E-5</v>
      </c>
      <c r="Q173">
        <v>0</v>
      </c>
      <c r="R173">
        <v>1.5464005660812099E-4</v>
      </c>
      <c r="S173">
        <v>0</v>
      </c>
      <c r="T173">
        <v>1.05633337110536E-5</v>
      </c>
      <c r="U173">
        <v>4.5935981473859799E-5</v>
      </c>
      <c r="V173">
        <v>2.26029955745122E-4</v>
      </c>
      <c r="W173">
        <v>1.1934163954659E-4</v>
      </c>
      <c r="X173">
        <v>1.9381215031162099E-5</v>
      </c>
      <c r="Y173">
        <v>0</v>
      </c>
      <c r="Z173">
        <v>0</v>
      </c>
      <c r="AA173">
        <v>2.1082543253013E-4</v>
      </c>
      <c r="AB173">
        <v>3.3323069584200501E-4</v>
      </c>
      <c r="AC173">
        <v>4.8246409648063103E-5</v>
      </c>
      <c r="AD173">
        <v>9.4475021625534594E-5</v>
      </c>
      <c r="AE173">
        <v>1.7626212433760899E-3</v>
      </c>
      <c r="AF173">
        <v>1.98413400357703E-4</v>
      </c>
      <c r="AG173">
        <v>0</v>
      </c>
      <c r="AH173">
        <v>3.1891944526405998E-5</v>
      </c>
      <c r="AI173">
        <v>5.04331390179199E-5</v>
      </c>
      <c r="AJ173">
        <v>4.71098802181487E-5</v>
      </c>
      <c r="AK173">
        <v>5.23325624049226E-5</v>
      </c>
      <c r="AL173">
        <v>3.94858053243312E-5</v>
      </c>
      <c r="AM173">
        <v>0</v>
      </c>
      <c r="AN173">
        <v>6.6489336633291805E-5</v>
      </c>
      <c r="AO173">
        <v>0</v>
      </c>
      <c r="AP173">
        <v>8.2193410261491897E-5</v>
      </c>
      <c r="AQ173">
        <v>0</v>
      </c>
      <c r="AR173">
        <v>1.03196745208104E-4</v>
      </c>
      <c r="AS173">
        <v>0</v>
      </c>
      <c r="AT173">
        <v>1.03937914855388E-4</v>
      </c>
      <c r="AU173">
        <v>6.6727215147544596E-5</v>
      </c>
      <c r="AV173">
        <v>0</v>
      </c>
      <c r="AW173">
        <v>2.8387098191547003E-4</v>
      </c>
      <c r="AX173">
        <v>4.8248742625204003E-5</v>
      </c>
      <c r="AY173">
        <v>8.8676797400614603E-5</v>
      </c>
      <c r="AZ173">
        <v>7.6461356752732104E-5</v>
      </c>
      <c r="BA173">
        <v>2.8001867740679102E-4</v>
      </c>
      <c r="BB173">
        <v>4.8609035064244302E-5</v>
      </c>
      <c r="BC173">
        <v>2.63888217753037E-4</v>
      </c>
      <c r="BD173">
        <v>5.1158405503399502E-5</v>
      </c>
      <c r="BE173">
        <v>8.25404818789386E-5</v>
      </c>
      <c r="BF173">
        <v>3.6993634382303398E-5</v>
      </c>
      <c r="BG173">
        <v>9.0133243562107304E-6</v>
      </c>
      <c r="BH173">
        <v>1.05581298766686E-4</v>
      </c>
      <c r="BI173">
        <v>7.5151733021605396E-5</v>
      </c>
      <c r="BJ173">
        <v>1.06732578141107E-4</v>
      </c>
      <c r="BK173">
        <v>3.8083161985283898E-5</v>
      </c>
      <c r="BL173">
        <v>0</v>
      </c>
      <c r="BM173">
        <v>6.4395126399326101E-5</v>
      </c>
      <c r="BN173">
        <v>9.1470910064653496E-5</v>
      </c>
      <c r="BO173">
        <v>6.3566456142555294E-5</v>
      </c>
      <c r="BP173">
        <v>4.9702702110899598E-5</v>
      </c>
      <c r="BQ173">
        <v>3.3950017306162903E-5</v>
      </c>
      <c r="BR173">
        <v>7.6767252944507101E-5</v>
      </c>
      <c r="BS173">
        <v>8.8939360004434097E-5</v>
      </c>
      <c r="BT173">
        <v>2.2015421260018501E-4</v>
      </c>
      <c r="BU173">
        <v>0</v>
      </c>
      <c r="BV173">
        <v>0</v>
      </c>
      <c r="BW173">
        <v>0</v>
      </c>
      <c r="BX173">
        <v>4.1939958848532799E-5</v>
      </c>
      <c r="BY173">
        <v>3.7401670511448498E-5</v>
      </c>
      <c r="BZ173">
        <v>5.6640620184491598E-5</v>
      </c>
      <c r="CA173">
        <v>0</v>
      </c>
      <c r="CB173">
        <v>1.74732624458453E-4</v>
      </c>
      <c r="CC173">
        <v>9.7812644316132394E-5</v>
      </c>
      <c r="CD173">
        <v>2.8826837503644599E-5</v>
      </c>
      <c r="CE173">
        <v>2.9832867552124102E-5</v>
      </c>
      <c r="CF173">
        <v>0</v>
      </c>
      <c r="CG173">
        <v>9.7960727110015905E-5</v>
      </c>
      <c r="CH173">
        <v>0</v>
      </c>
      <c r="CI173">
        <v>8.0101011443719098E-5</v>
      </c>
      <c r="CJ173">
        <f>MAX(E173:CI173)</f>
        <v>1.7626212433760899E-3</v>
      </c>
    </row>
    <row r="174" spans="1:88" x14ac:dyDescent="0.2">
      <c r="A174" t="s">
        <v>317</v>
      </c>
      <c r="B174" t="s">
        <v>317</v>
      </c>
      <c r="C174" t="s">
        <v>305</v>
      </c>
      <c r="D174" t="s">
        <v>255</v>
      </c>
      <c r="E174">
        <v>1.2850676769396901E-5</v>
      </c>
      <c r="F174">
        <v>1.78555815673743E-5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1.5456992635303299E-5</v>
      </c>
      <c r="S174">
        <v>0</v>
      </c>
      <c r="T174">
        <v>0</v>
      </c>
      <c r="U174">
        <v>0</v>
      </c>
      <c r="V174">
        <v>0</v>
      </c>
      <c r="W174">
        <v>2.5847467623383699E-5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9.4805383643669405E-6</v>
      </c>
      <c r="AD174">
        <v>0</v>
      </c>
      <c r="AE174">
        <v>6.5915416408783101E-5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2.1833582424323399E-5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1.57880684269485E-5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f>MAX(E174:CI174)</f>
        <v>6.5915416408783101E-5</v>
      </c>
    </row>
    <row r="175" spans="1:88" x14ac:dyDescent="0.2">
      <c r="A175" t="s">
        <v>318</v>
      </c>
      <c r="B175" t="s">
        <v>318</v>
      </c>
      <c r="C175" t="s">
        <v>305</v>
      </c>
      <c r="D175" t="s">
        <v>119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4.9199875070746998E-5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f>MAX(E175:CI175)</f>
        <v>4.9199875070746998E-5</v>
      </c>
    </row>
    <row r="176" spans="1:88" x14ac:dyDescent="0.2">
      <c r="A176" t="s">
        <v>319</v>
      </c>
      <c r="B176" t="s">
        <v>319</v>
      </c>
      <c r="C176" t="s">
        <v>305</v>
      </c>
      <c r="D176" t="s">
        <v>255</v>
      </c>
      <c r="E176">
        <v>0</v>
      </c>
      <c r="F176">
        <v>0</v>
      </c>
      <c r="G176">
        <v>0</v>
      </c>
      <c r="H176">
        <v>1.4265040204248101E-4</v>
      </c>
      <c r="I176">
        <v>0</v>
      </c>
      <c r="J176">
        <v>0</v>
      </c>
      <c r="K176">
        <v>0</v>
      </c>
      <c r="L176">
        <v>4.0621784697906299E-5</v>
      </c>
      <c r="M176">
        <v>0</v>
      </c>
      <c r="N176">
        <v>0</v>
      </c>
      <c r="O176">
        <v>0</v>
      </c>
      <c r="P176">
        <v>0</v>
      </c>
      <c r="Q176">
        <v>3.1988803782689298E-5</v>
      </c>
      <c r="R176">
        <v>2.87816707012975E-5</v>
      </c>
      <c r="S176">
        <v>0</v>
      </c>
      <c r="T176">
        <v>0</v>
      </c>
      <c r="U176">
        <v>0</v>
      </c>
      <c r="V176">
        <v>1.83544341434662E-5</v>
      </c>
      <c r="W176">
        <v>4.0045894602586502E-5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6.8035565669202297E-5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3.7845565588663497E-5</v>
      </c>
      <c r="BG176">
        <v>0</v>
      </c>
      <c r="BH176">
        <v>0</v>
      </c>
      <c r="BI176">
        <v>0</v>
      </c>
      <c r="BJ176">
        <v>1.85097690495857E-5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f>MAX(E176:CI176)</f>
        <v>1.4265040204248101E-4</v>
      </c>
    </row>
    <row r="177" spans="1:88" x14ac:dyDescent="0.2">
      <c r="A177" t="s">
        <v>320</v>
      </c>
      <c r="B177" t="s">
        <v>320</v>
      </c>
      <c r="C177" t="s">
        <v>305</v>
      </c>
      <c r="D177" t="s">
        <v>89</v>
      </c>
      <c r="E177">
        <v>7.1608569819852502E-4</v>
      </c>
      <c r="F177">
        <v>1.5201729485403699E-3</v>
      </c>
      <c r="G177">
        <v>3.0224143322395299E-3</v>
      </c>
      <c r="H177">
        <v>1.6408957871378801E-2</v>
      </c>
      <c r="I177">
        <v>1.79365123131117E-4</v>
      </c>
      <c r="J177">
        <v>2.0386421535867001E-5</v>
      </c>
      <c r="K177">
        <v>0</v>
      </c>
      <c r="L177">
        <v>3.5554289145617699E-5</v>
      </c>
      <c r="M177">
        <v>0</v>
      </c>
      <c r="N177">
        <v>0</v>
      </c>
      <c r="O177">
        <v>1.41208552114658E-5</v>
      </c>
      <c r="P177">
        <v>1.7374487382053E-5</v>
      </c>
      <c r="Q177">
        <v>1.4183943740457899E-3</v>
      </c>
      <c r="R177">
        <v>1.58478006660402E-4</v>
      </c>
      <c r="S177">
        <v>8.7678477527419798E-5</v>
      </c>
      <c r="T177">
        <v>6.6475406233458697E-4</v>
      </c>
      <c r="U177">
        <v>1.7145296502677401E-4</v>
      </c>
      <c r="V177">
        <v>5.3303165363041798E-3</v>
      </c>
      <c r="W177">
        <v>4.9173939209382295E-4</v>
      </c>
      <c r="X177">
        <v>8.3656366949455807E-5</v>
      </c>
      <c r="Y177">
        <v>3.2736783027644799E-5</v>
      </c>
      <c r="Z177">
        <v>0</v>
      </c>
      <c r="AA177">
        <v>0</v>
      </c>
      <c r="AB177">
        <v>1.56701083723186E-3</v>
      </c>
      <c r="AC177">
        <v>0</v>
      </c>
      <c r="AD177">
        <v>0</v>
      </c>
      <c r="AE177">
        <v>4.2627022675521898E-3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1.1355702337112099E-2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3.52790595964838E-5</v>
      </c>
      <c r="BD177">
        <v>4.5683461122679099E-5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5.2923919477741103E-4</v>
      </c>
      <c r="BK177">
        <v>1.6942246648727899E-5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1.9052018739047301E-5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3.8325691548183E-5</v>
      </c>
      <c r="CF177">
        <v>0</v>
      </c>
      <c r="CG177">
        <v>0</v>
      </c>
      <c r="CH177">
        <v>0</v>
      </c>
      <c r="CI177">
        <v>0</v>
      </c>
      <c r="CJ177">
        <f>MAX(E177:CI177)</f>
        <v>1.6408957871378801E-2</v>
      </c>
    </row>
    <row r="178" spans="1:88" x14ac:dyDescent="0.2">
      <c r="A178" t="s">
        <v>321</v>
      </c>
      <c r="B178" t="s">
        <v>321</v>
      </c>
      <c r="C178" t="s">
        <v>214</v>
      </c>
      <c r="D178" t="s">
        <v>214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6.1747446142208494E-5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2.6322613076395301E-5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3.7555452578115997E-5</v>
      </c>
      <c r="AV178">
        <v>0</v>
      </c>
      <c r="AW178">
        <v>0</v>
      </c>
      <c r="AX178">
        <v>0</v>
      </c>
      <c r="AY178">
        <v>9.0664025936630808E-6</v>
      </c>
      <c r="AZ178">
        <v>0</v>
      </c>
      <c r="BA178">
        <v>0</v>
      </c>
      <c r="BB178">
        <v>1.41963598718319E-5</v>
      </c>
      <c r="BC178">
        <v>0</v>
      </c>
      <c r="BD178">
        <v>0</v>
      </c>
      <c r="BE178">
        <v>8.0889099379195497E-6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5.0598658181507498E-6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4.8959841141752397E-5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f>MAX(E178:CI178)</f>
        <v>6.1747446142208494E-5</v>
      </c>
    </row>
    <row r="179" spans="1:88" x14ac:dyDescent="0.2">
      <c r="A179" t="s">
        <v>322</v>
      </c>
      <c r="B179" t="s">
        <v>322</v>
      </c>
      <c r="C179" t="s">
        <v>214</v>
      </c>
      <c r="D179" t="s">
        <v>214</v>
      </c>
      <c r="E179">
        <v>2.9913277509327198E-4</v>
      </c>
      <c r="F179">
        <v>2.4478229371882999E-4</v>
      </c>
      <c r="G179">
        <v>1.8214782929338799E-3</v>
      </c>
      <c r="H179">
        <v>2.9926504983460899E-4</v>
      </c>
      <c r="I179">
        <v>6.0205476778008198E-5</v>
      </c>
      <c r="J179">
        <v>8.9259407564430495E-5</v>
      </c>
      <c r="K179">
        <v>1.0054789894877001E-3</v>
      </c>
      <c r="L179">
        <v>6.7712055866164699E-5</v>
      </c>
      <c r="M179">
        <v>2.3278232416822898E-5</v>
      </c>
      <c r="N179">
        <v>0</v>
      </c>
      <c r="O179">
        <v>4.0204993848168201E-5</v>
      </c>
      <c r="P179">
        <v>6.1220377043718702E-5</v>
      </c>
      <c r="Q179">
        <v>3.4034078795595597E-5</v>
      </c>
      <c r="R179">
        <v>1.5647969826225699E-4</v>
      </c>
      <c r="S179">
        <v>6.33739825599744E-5</v>
      </c>
      <c r="T179">
        <v>2.42708507704224E-5</v>
      </c>
      <c r="U179">
        <v>1.2706501732153599E-4</v>
      </c>
      <c r="V179">
        <v>4.9955004220585902E-5</v>
      </c>
      <c r="W179">
        <v>2.5672490392372098E-4</v>
      </c>
      <c r="X179">
        <v>2.14511707574621E-5</v>
      </c>
      <c r="Y179">
        <v>2.5192542506271198E-4</v>
      </c>
      <c r="Z179">
        <v>1.87212567765341E-4</v>
      </c>
      <c r="AA179">
        <v>6.3593539837928997E-4</v>
      </c>
      <c r="AB179">
        <v>1.8467750560211599E-5</v>
      </c>
      <c r="AC179">
        <v>1.8279571036303899E-3</v>
      </c>
      <c r="AD179">
        <v>3.3932120452950999E-4</v>
      </c>
      <c r="AE179">
        <v>1.0227959507841599E-3</v>
      </c>
      <c r="AF179">
        <v>5.8077912756199603E-4</v>
      </c>
      <c r="AG179">
        <v>3.1096320229131498E-4</v>
      </c>
      <c r="AH179">
        <v>8.1566720262820494E-5</v>
      </c>
      <c r="AI179">
        <v>9.2154596097481799E-5</v>
      </c>
      <c r="AJ179">
        <v>6.3042583160775105E-5</v>
      </c>
      <c r="AK179">
        <v>2.8181752727862101E-4</v>
      </c>
      <c r="AL179">
        <v>4.0557296710235501E-5</v>
      </c>
      <c r="AM179">
        <v>3.2818520604336099E-5</v>
      </c>
      <c r="AN179">
        <v>2.9568139601460599E-4</v>
      </c>
      <c r="AO179">
        <v>6.4850002923722493E-5</v>
      </c>
      <c r="AP179">
        <v>1.00192450804573E-4</v>
      </c>
      <c r="AQ179">
        <v>0</v>
      </c>
      <c r="AR179">
        <v>1.3714121728303801E-5</v>
      </c>
      <c r="AS179">
        <v>2.2710254441383599E-5</v>
      </c>
      <c r="AT179">
        <v>0</v>
      </c>
      <c r="AU179">
        <v>1.09809774575986E-3</v>
      </c>
      <c r="AV179">
        <v>1.7601756146004501E-3</v>
      </c>
      <c r="AW179">
        <v>3.4676798910366702E-3</v>
      </c>
      <c r="AX179">
        <v>5.8713233657712595E-4</v>
      </c>
      <c r="AY179">
        <v>9.9206699188366504E-4</v>
      </c>
      <c r="AZ179">
        <v>2.1409917805298301E-3</v>
      </c>
      <c r="BA179">
        <v>2.8597034545058101E-3</v>
      </c>
      <c r="BB179">
        <v>1.1324003632355601E-3</v>
      </c>
      <c r="BC179">
        <v>8.3957210383282495E-4</v>
      </c>
      <c r="BD179">
        <v>2.5316169805730702E-3</v>
      </c>
      <c r="BE179">
        <v>7.5482452085988395E-4</v>
      </c>
      <c r="BF179">
        <v>4.0878692830130498E-4</v>
      </c>
      <c r="BG179">
        <v>0</v>
      </c>
      <c r="BH179">
        <v>1.64271415726187E-3</v>
      </c>
      <c r="BI179">
        <v>7.01156557358081E-4</v>
      </c>
      <c r="BJ179">
        <v>5.7147863667186599E-4</v>
      </c>
      <c r="BK179">
        <v>3.29451887457347E-4</v>
      </c>
      <c r="BL179">
        <v>1.4663849680058301E-3</v>
      </c>
      <c r="BM179">
        <v>5.5441248278331398E-4</v>
      </c>
      <c r="BN179">
        <v>0</v>
      </c>
      <c r="BO179">
        <v>9.2949059554560702E-4</v>
      </c>
      <c r="BP179">
        <v>4.2110558366293901E-4</v>
      </c>
      <c r="BQ179">
        <v>5.05938815906221E-4</v>
      </c>
      <c r="BR179">
        <v>1.2334257191282899E-3</v>
      </c>
      <c r="BS179">
        <v>6.0832827098067702E-4</v>
      </c>
      <c r="BT179">
        <v>3.5692009507527501E-4</v>
      </c>
      <c r="BU179">
        <v>2.2558696428599299E-4</v>
      </c>
      <c r="BV179">
        <v>2.7749681319496699E-5</v>
      </c>
      <c r="BW179">
        <v>2.6274956155362901E-4</v>
      </c>
      <c r="BX179">
        <v>3.71862170608304E-4</v>
      </c>
      <c r="BY179">
        <v>0</v>
      </c>
      <c r="BZ179">
        <v>3.9449454296478002E-4</v>
      </c>
      <c r="CA179">
        <v>6.9024775056540297E-4</v>
      </c>
      <c r="CB179">
        <v>9.4560987740306397E-4</v>
      </c>
      <c r="CC179">
        <v>6.8052800196451602E-4</v>
      </c>
      <c r="CD179">
        <v>2.1811674098246801E-4</v>
      </c>
      <c r="CE179">
        <v>4.0732400002644199E-4</v>
      </c>
      <c r="CF179">
        <v>1.33261286003908E-3</v>
      </c>
      <c r="CG179">
        <v>1.0741575862436199E-3</v>
      </c>
      <c r="CH179">
        <v>6.24404465056916E-4</v>
      </c>
      <c r="CI179">
        <v>4.0615798891550199E-4</v>
      </c>
      <c r="CJ179">
        <f>MAX(E179:CI179)</f>
        <v>3.4676798910366702E-3</v>
      </c>
    </row>
    <row r="180" spans="1:88" x14ac:dyDescent="0.2">
      <c r="A180" t="s">
        <v>323</v>
      </c>
      <c r="B180" t="s">
        <v>324</v>
      </c>
      <c r="C180" t="s">
        <v>230</v>
      </c>
      <c r="D180" t="s">
        <v>214</v>
      </c>
      <c r="E180">
        <v>1.3359339909499701E-4</v>
      </c>
      <c r="F180">
        <v>4.6490048579846599E-4</v>
      </c>
      <c r="G180">
        <v>0</v>
      </c>
      <c r="H180">
        <v>3.2496904939249699E-3</v>
      </c>
      <c r="I180">
        <v>2.4891209493088401E-4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3.47459347701163E-4</v>
      </c>
      <c r="R180">
        <v>4.8422030842466803E-5</v>
      </c>
      <c r="S180">
        <v>2.77443145743101E-5</v>
      </c>
      <c r="T180">
        <v>0</v>
      </c>
      <c r="U180">
        <v>7.8342783885487205E-5</v>
      </c>
      <c r="V180">
        <v>2.32381205328648E-3</v>
      </c>
      <c r="W180">
        <v>2.9456829432100403E-4</v>
      </c>
      <c r="X180">
        <v>0</v>
      </c>
      <c r="Y180">
        <v>4.7730611680351598E-5</v>
      </c>
      <c r="Z180">
        <v>5.9188999643604001E-5</v>
      </c>
      <c r="AA180">
        <v>6.5922550259989599E-4</v>
      </c>
      <c r="AB180">
        <v>0</v>
      </c>
      <c r="AC180">
        <v>0</v>
      </c>
      <c r="AD180">
        <v>0</v>
      </c>
      <c r="AE180">
        <v>0</v>
      </c>
      <c r="AF180">
        <v>4.02755055019959E-4</v>
      </c>
      <c r="AG180">
        <v>0</v>
      </c>
      <c r="AH180">
        <v>1.94984459975805E-5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7.9186290715681804E-6</v>
      </c>
      <c r="AP180">
        <v>0</v>
      </c>
      <c r="AQ180">
        <v>0</v>
      </c>
      <c r="AR180">
        <v>0</v>
      </c>
      <c r="AS180">
        <v>0</v>
      </c>
      <c r="AT180">
        <v>1.9430456318653699E-3</v>
      </c>
      <c r="AU180">
        <v>0</v>
      </c>
      <c r="AV180">
        <v>9.2817742208800607E-5</v>
      </c>
      <c r="AW180">
        <v>5.4692402341265099E-5</v>
      </c>
      <c r="AX180">
        <v>7.5867888978045999E-5</v>
      </c>
      <c r="AY180">
        <v>0</v>
      </c>
      <c r="AZ180">
        <v>0</v>
      </c>
      <c r="BA180">
        <v>0</v>
      </c>
      <c r="BB180">
        <v>0</v>
      </c>
      <c r="BC180">
        <v>7.3161567206377098E-4</v>
      </c>
      <c r="BD180">
        <v>3.9273264273637001E-4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3.6807642319988398E-3</v>
      </c>
      <c r="BK180">
        <v>0</v>
      </c>
      <c r="BL180">
        <v>0</v>
      </c>
      <c r="BM180">
        <v>8.1504765080546305E-5</v>
      </c>
      <c r="BN180">
        <v>9.4631124317940405E-5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9.9853202923537898E-5</v>
      </c>
      <c r="CA180">
        <v>0</v>
      </c>
      <c r="CB180">
        <v>0</v>
      </c>
      <c r="CC180">
        <v>0</v>
      </c>
      <c r="CD180">
        <v>0</v>
      </c>
      <c r="CE180">
        <v>8.3460695599682594E-5</v>
      </c>
      <c r="CF180">
        <v>3.0129227729032001E-5</v>
      </c>
      <c r="CG180">
        <v>6.6782857857322598E-4</v>
      </c>
      <c r="CH180">
        <v>9.1619517436404194E-5</v>
      </c>
      <c r="CI180">
        <v>4.8824072292808803E-5</v>
      </c>
      <c r="CJ180">
        <f>MAX(E180:CI180)</f>
        <v>3.6807642319988398E-3</v>
      </c>
    </row>
    <row r="181" spans="1:88" x14ac:dyDescent="0.2">
      <c r="A181" t="s">
        <v>325</v>
      </c>
      <c r="B181" t="s">
        <v>324</v>
      </c>
      <c r="C181" t="s">
        <v>230</v>
      </c>
      <c r="D181" t="s">
        <v>214</v>
      </c>
      <c r="E181">
        <v>2.8712235006994702E-3</v>
      </c>
      <c r="F181">
        <v>1.00983402598878E-2</v>
      </c>
      <c r="G181">
        <v>3.71802238338055E-3</v>
      </c>
      <c r="H181">
        <v>4.49481684729134E-2</v>
      </c>
      <c r="I181">
        <v>1.4078876522214999E-2</v>
      </c>
      <c r="J181">
        <v>1.65142935448791E-3</v>
      </c>
      <c r="K181">
        <v>9.0645656773898203E-5</v>
      </c>
      <c r="L181">
        <v>4.0547772392801902E-5</v>
      </c>
      <c r="M181">
        <v>1.2460170928173801E-4</v>
      </c>
      <c r="N181">
        <v>6.4675977309447901E-5</v>
      </c>
      <c r="O181">
        <v>0</v>
      </c>
      <c r="P181">
        <v>0</v>
      </c>
      <c r="Q181">
        <v>1.6264173554579299E-2</v>
      </c>
      <c r="R181">
        <v>0</v>
      </c>
      <c r="S181">
        <v>2.1477315651593702E-3</v>
      </c>
      <c r="T181">
        <v>3.1663724633736999E-3</v>
      </c>
      <c r="U181">
        <v>1.2737846176562801E-3</v>
      </c>
      <c r="V181">
        <v>1.7362489655704701E-2</v>
      </c>
      <c r="W181">
        <v>0</v>
      </c>
      <c r="X181">
        <v>2.13533982542834E-4</v>
      </c>
      <c r="Y181">
        <v>0</v>
      </c>
      <c r="Z181">
        <v>1.42601797550724E-3</v>
      </c>
      <c r="AA181">
        <v>0</v>
      </c>
      <c r="AB181">
        <v>6.7967610196737098E-3</v>
      </c>
      <c r="AC181">
        <v>0</v>
      </c>
      <c r="AD181">
        <v>0</v>
      </c>
      <c r="AE181">
        <v>1.0207890435904801E-2</v>
      </c>
      <c r="AF181">
        <v>0</v>
      </c>
      <c r="AG181">
        <v>0</v>
      </c>
      <c r="AH181">
        <v>2.1290408777200299E-5</v>
      </c>
      <c r="AI181">
        <v>0</v>
      </c>
      <c r="AJ181">
        <v>2.6445208777404799E-4</v>
      </c>
      <c r="AK181">
        <v>2.2885636730904599E-4</v>
      </c>
      <c r="AL181">
        <v>4.1707676851967702E-5</v>
      </c>
      <c r="AM181">
        <v>5.4592753574007098E-5</v>
      </c>
      <c r="AN181">
        <v>0</v>
      </c>
      <c r="AO181">
        <v>4.9215284501617097E-3</v>
      </c>
      <c r="AP181">
        <v>5.6205912117628304E-4</v>
      </c>
      <c r="AQ181">
        <v>0</v>
      </c>
      <c r="AR181">
        <v>0</v>
      </c>
      <c r="AS181">
        <v>4.4406546563707597E-5</v>
      </c>
      <c r="AT181">
        <v>2.44013020023153E-2</v>
      </c>
      <c r="AU181">
        <v>0</v>
      </c>
      <c r="AV181">
        <v>0</v>
      </c>
      <c r="AW181">
        <v>0</v>
      </c>
      <c r="AX181">
        <v>0</v>
      </c>
      <c r="AY181">
        <v>2.3418819538019E-4</v>
      </c>
      <c r="AZ181">
        <v>0</v>
      </c>
      <c r="BA181">
        <v>0</v>
      </c>
      <c r="BB181">
        <v>1.04615732439827E-4</v>
      </c>
      <c r="BC181">
        <v>2.2319784647791799E-3</v>
      </c>
      <c r="BD181">
        <v>0</v>
      </c>
      <c r="BE181">
        <v>0</v>
      </c>
      <c r="BF181">
        <v>0</v>
      </c>
      <c r="BG181">
        <v>0</v>
      </c>
      <c r="BH181">
        <v>1.5153222493903901E-4</v>
      </c>
      <c r="BI181">
        <v>0</v>
      </c>
      <c r="BJ181">
        <v>0</v>
      </c>
      <c r="BK181">
        <v>2.5371374741759703E-4</v>
      </c>
      <c r="BL181">
        <v>0</v>
      </c>
      <c r="BM181">
        <v>4.5493253815557303E-5</v>
      </c>
      <c r="BN181">
        <v>0</v>
      </c>
      <c r="BO181">
        <v>1.4605754615942899E-4</v>
      </c>
      <c r="BP181">
        <v>7.2075887709199497E-6</v>
      </c>
      <c r="BQ181">
        <v>0</v>
      </c>
      <c r="BR181">
        <v>0</v>
      </c>
      <c r="BS181">
        <v>0</v>
      </c>
      <c r="BT181">
        <v>4.7037258330299303E-4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1.0313118311985E-4</v>
      </c>
      <c r="CA181">
        <v>0</v>
      </c>
      <c r="CB181">
        <v>0</v>
      </c>
      <c r="CC181">
        <v>1.2761478701848401E-4</v>
      </c>
      <c r="CD181">
        <v>1.4845403285569601E-4</v>
      </c>
      <c r="CE181">
        <v>0</v>
      </c>
      <c r="CF181">
        <v>0</v>
      </c>
      <c r="CG181">
        <v>4.1797662991667798E-5</v>
      </c>
      <c r="CH181">
        <v>7.7105791569639996E-5</v>
      </c>
      <c r="CI181">
        <v>0</v>
      </c>
      <c r="CJ181">
        <f>MAX(E181:CI181)</f>
        <v>4.49481684729134E-2</v>
      </c>
    </row>
    <row r="182" spans="1:88" x14ac:dyDescent="0.2">
      <c r="A182" t="s">
        <v>326</v>
      </c>
      <c r="B182" t="s">
        <v>324</v>
      </c>
      <c r="C182" t="s">
        <v>230</v>
      </c>
      <c r="D182" t="s">
        <v>214</v>
      </c>
      <c r="E182">
        <v>2.17016622433967E-4</v>
      </c>
      <c r="F182">
        <v>0</v>
      </c>
      <c r="G182">
        <v>6.1948957171181198E-4</v>
      </c>
      <c r="H182">
        <v>0</v>
      </c>
      <c r="I182">
        <v>3.00952530946506E-4</v>
      </c>
      <c r="J182">
        <v>1.8944231840764799E-4</v>
      </c>
      <c r="K182">
        <v>0</v>
      </c>
      <c r="L182">
        <v>3.3332585363817597E-5</v>
      </c>
      <c r="M182">
        <v>1.01502093558904E-4</v>
      </c>
      <c r="N182">
        <v>4.56585378803531E-5</v>
      </c>
      <c r="O182">
        <v>0</v>
      </c>
      <c r="P182">
        <v>1.95329122932338E-4</v>
      </c>
      <c r="Q182">
        <v>0</v>
      </c>
      <c r="R182">
        <v>4.9071462312706097E-4</v>
      </c>
      <c r="S182">
        <v>2.29811628357782E-4</v>
      </c>
      <c r="T182">
        <v>4.9802024774613901E-5</v>
      </c>
      <c r="U182">
        <v>0</v>
      </c>
      <c r="V182">
        <v>4.15746881232918E-4</v>
      </c>
      <c r="W182">
        <v>2.7815828498894399E-4</v>
      </c>
      <c r="X182">
        <v>0</v>
      </c>
      <c r="Y182">
        <v>2.40614613351701E-4</v>
      </c>
      <c r="Z182">
        <v>7.0974934433872295E-5</v>
      </c>
      <c r="AA182">
        <v>6.6614228127387105E-4</v>
      </c>
      <c r="AB182">
        <v>4.4154706264135898E-4</v>
      </c>
      <c r="AC182">
        <v>3.87477955904394E-4</v>
      </c>
      <c r="AD182">
        <v>7.88551387064119E-4</v>
      </c>
      <c r="AE182">
        <v>2.6557916431757299E-3</v>
      </c>
      <c r="AF182">
        <v>8.6014763584636895E-4</v>
      </c>
      <c r="AG182">
        <v>3.2227825243388099E-4</v>
      </c>
      <c r="AH182">
        <v>2.6717880311281998E-4</v>
      </c>
      <c r="AI182">
        <v>8.7904073323693096E-5</v>
      </c>
      <c r="AJ182">
        <v>8.2339457255898603E-5</v>
      </c>
      <c r="AK182">
        <v>1.3659632021787501E-4</v>
      </c>
      <c r="AL182">
        <v>1.03455122669623E-4</v>
      </c>
      <c r="AM182">
        <v>0</v>
      </c>
      <c r="AN182">
        <v>3.1793548314908599E-4</v>
      </c>
      <c r="AO182">
        <v>1.80288489449714E-5</v>
      </c>
      <c r="AP182">
        <v>6.7172111468663699E-5</v>
      </c>
      <c r="AQ182">
        <v>0</v>
      </c>
      <c r="AR182">
        <v>0</v>
      </c>
      <c r="AS182">
        <v>3.3411655896588502E-5</v>
      </c>
      <c r="AT182">
        <v>3.8495414476687E-4</v>
      </c>
      <c r="AU182">
        <v>2.77626552399422E-4</v>
      </c>
      <c r="AV182">
        <v>2.8477640289289601E-4</v>
      </c>
      <c r="AW182">
        <v>1.0283145953666601E-3</v>
      </c>
      <c r="AX182">
        <v>0</v>
      </c>
      <c r="AY182">
        <v>0</v>
      </c>
      <c r="AZ182">
        <v>4.8994575590779804E-4</v>
      </c>
      <c r="BA182">
        <v>9.0701819667552005E-4</v>
      </c>
      <c r="BB182">
        <v>2.3871076248640401E-4</v>
      </c>
      <c r="BC182">
        <v>3.38944038698073E-4</v>
      </c>
      <c r="BD182">
        <v>4.0301944443045301E-4</v>
      </c>
      <c r="BE182">
        <v>1.74049588166301E-4</v>
      </c>
      <c r="BF182">
        <v>6.7147987359257396E-5</v>
      </c>
      <c r="BG182">
        <v>3.3111815995734499E-5</v>
      </c>
      <c r="BH182">
        <v>6.4121105302647398E-4</v>
      </c>
      <c r="BI182">
        <v>4.8817889497361201E-4</v>
      </c>
      <c r="BJ182">
        <v>5.2632257723876402E-4</v>
      </c>
      <c r="BK182">
        <v>1.6634088202254101E-4</v>
      </c>
      <c r="BL182">
        <v>4.8069654427604298E-4</v>
      </c>
      <c r="BM182">
        <v>1.4428460671164501E-4</v>
      </c>
      <c r="BN182">
        <v>2.6872248068582599E-4</v>
      </c>
      <c r="BO182">
        <v>5.33460171194353E-4</v>
      </c>
      <c r="BP182">
        <v>5.2331718910473602E-4</v>
      </c>
      <c r="BQ182">
        <v>0</v>
      </c>
      <c r="BR182">
        <v>0</v>
      </c>
      <c r="BS182">
        <v>2.8541053523638E-4</v>
      </c>
      <c r="BT182">
        <v>1.9354813906423301E-4</v>
      </c>
      <c r="BU182">
        <v>2.61955788741564E-4</v>
      </c>
      <c r="BV182">
        <v>0</v>
      </c>
      <c r="BW182">
        <v>3.5811787597983899E-4</v>
      </c>
      <c r="BX182">
        <v>1.3401765052111701E-4</v>
      </c>
      <c r="BY182">
        <v>1.19566908403249E-4</v>
      </c>
      <c r="BZ182">
        <v>2.3635783322700001E-4</v>
      </c>
      <c r="CA182">
        <v>1.4138977390376099E-4</v>
      </c>
      <c r="CB182">
        <v>5.3596817167734004E-4</v>
      </c>
      <c r="CC182">
        <v>6.0048753957670398E-4</v>
      </c>
      <c r="CD182">
        <v>0</v>
      </c>
      <c r="CE182">
        <v>2.90701317460058E-4</v>
      </c>
      <c r="CF182">
        <v>1.0004629267212099E-3</v>
      </c>
      <c r="CG182">
        <v>3.0990387026317803E-4</v>
      </c>
      <c r="CH182">
        <v>1.7413858051479401E-4</v>
      </c>
      <c r="CI182">
        <v>4.4975707102981399E-4</v>
      </c>
      <c r="CJ182">
        <f>MAX(E182:CI182)</f>
        <v>2.6557916431757299E-3</v>
      </c>
    </row>
    <row r="183" spans="1:88" x14ac:dyDescent="0.2">
      <c r="A183" t="s">
        <v>327</v>
      </c>
      <c r="B183" t="s">
        <v>324</v>
      </c>
      <c r="C183" t="s">
        <v>230</v>
      </c>
      <c r="D183" t="s">
        <v>214</v>
      </c>
      <c r="E183">
        <v>9.0323134379782498E-5</v>
      </c>
      <c r="F183">
        <v>0</v>
      </c>
      <c r="G183">
        <v>0</v>
      </c>
      <c r="H183">
        <v>0</v>
      </c>
      <c r="I183">
        <v>4.4552184152180101E-5</v>
      </c>
      <c r="J183">
        <v>7.7003062871460406E-5</v>
      </c>
      <c r="K183">
        <v>0</v>
      </c>
      <c r="L183">
        <v>0</v>
      </c>
      <c r="M183">
        <v>4.2932185778964398E-5</v>
      </c>
      <c r="N183">
        <v>6.8664458581554802E-5</v>
      </c>
      <c r="O183">
        <v>4.7323842467234199E-5</v>
      </c>
      <c r="P183">
        <v>0</v>
      </c>
      <c r="Q183">
        <v>7.6432840549202103E-5</v>
      </c>
      <c r="R183">
        <v>9.8637714314069006E-5</v>
      </c>
      <c r="S183">
        <v>8.0914620207024496E-5</v>
      </c>
      <c r="T183">
        <v>3.0013731979423301E-5</v>
      </c>
      <c r="U183">
        <v>9.3684123947484295E-5</v>
      </c>
      <c r="V183">
        <v>6.3963762197252196E-5</v>
      </c>
      <c r="W183">
        <v>1.6393549637292399E-5</v>
      </c>
      <c r="X183">
        <v>0</v>
      </c>
      <c r="Y183">
        <v>4.30747732544005E-5</v>
      </c>
      <c r="Z183">
        <v>0</v>
      </c>
      <c r="AA183">
        <v>9.2341941201723901E-5</v>
      </c>
      <c r="AB183">
        <v>2.3665244729571899E-5</v>
      </c>
      <c r="AC183">
        <v>0</v>
      </c>
      <c r="AD183">
        <v>7.1623575911061301E-5</v>
      </c>
      <c r="AE183">
        <v>4.1701627055854702E-5</v>
      </c>
      <c r="AF183">
        <v>0</v>
      </c>
      <c r="AG183">
        <v>4.5479114481380901E-5</v>
      </c>
      <c r="AH183">
        <v>8.0967736781156104E-5</v>
      </c>
      <c r="AI183">
        <v>5.0906354792523103E-5</v>
      </c>
      <c r="AJ183">
        <v>0</v>
      </c>
      <c r="AK183">
        <v>1.16218428865716E-4</v>
      </c>
      <c r="AL183">
        <v>2.9530037603820299E-5</v>
      </c>
      <c r="AM183">
        <v>0</v>
      </c>
      <c r="AN183">
        <v>0</v>
      </c>
      <c r="AO183">
        <v>1.2136375358117E-5</v>
      </c>
      <c r="AP183">
        <v>3.1047883489602199E-5</v>
      </c>
      <c r="AQ183">
        <v>0</v>
      </c>
      <c r="AR183">
        <v>1.3511451293051499E-4</v>
      </c>
      <c r="AS183">
        <v>0</v>
      </c>
      <c r="AT183">
        <v>3.9717234401961897E-5</v>
      </c>
      <c r="AU183">
        <v>0</v>
      </c>
      <c r="AV183">
        <v>4.4536491381740299E-5</v>
      </c>
      <c r="AW183">
        <v>0</v>
      </c>
      <c r="AX183">
        <v>1.09016692082881E-5</v>
      </c>
      <c r="AY183">
        <v>0</v>
      </c>
      <c r="AZ183">
        <v>0</v>
      </c>
      <c r="BA183">
        <v>0</v>
      </c>
      <c r="BB183">
        <v>1.1880042655777E-4</v>
      </c>
      <c r="BC183">
        <v>4.62093649393081E-5</v>
      </c>
      <c r="BD183">
        <v>1.03193893816052E-4</v>
      </c>
      <c r="BE183">
        <v>0</v>
      </c>
      <c r="BF183">
        <v>0</v>
      </c>
      <c r="BG183">
        <v>0</v>
      </c>
      <c r="BH183">
        <v>0</v>
      </c>
      <c r="BI183">
        <v>4.7350328899828602E-5</v>
      </c>
      <c r="BJ183">
        <v>8.5297440580159608E-6</v>
      </c>
      <c r="BK183">
        <v>3.6200619277957798E-5</v>
      </c>
      <c r="BL183">
        <v>1.80231210667379E-5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8.9182984113970193E-5</v>
      </c>
      <c r="BS183">
        <v>0</v>
      </c>
      <c r="BT183">
        <v>0</v>
      </c>
      <c r="BU183">
        <v>0</v>
      </c>
      <c r="BV183">
        <v>1.07710241590583E-4</v>
      </c>
      <c r="BW183">
        <v>5.0738894433132202E-5</v>
      </c>
      <c r="BX183">
        <v>0</v>
      </c>
      <c r="BY183">
        <v>0</v>
      </c>
      <c r="BZ183">
        <v>0</v>
      </c>
      <c r="CA183">
        <v>6.8874902964880904E-5</v>
      </c>
      <c r="CB183">
        <v>0</v>
      </c>
      <c r="CC183">
        <v>9.08257515127291E-6</v>
      </c>
      <c r="CD183">
        <v>4.5961373650813201E-5</v>
      </c>
      <c r="CE183">
        <v>0</v>
      </c>
      <c r="CF183">
        <v>4.2998073723663199E-5</v>
      </c>
      <c r="CG183">
        <v>0</v>
      </c>
      <c r="CH183">
        <v>0</v>
      </c>
      <c r="CI183">
        <v>0</v>
      </c>
      <c r="CJ183">
        <f>MAX(E183:CI183)</f>
        <v>1.3511451293051499E-4</v>
      </c>
    </row>
    <row r="184" spans="1:88" x14ac:dyDescent="0.2">
      <c r="A184" t="s">
        <v>328</v>
      </c>
      <c r="B184" t="s">
        <v>324</v>
      </c>
      <c r="C184" t="s">
        <v>230</v>
      </c>
      <c r="D184" t="s">
        <v>214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6.1319132198888496E-6</v>
      </c>
      <c r="R184">
        <v>4.2621919059024798E-5</v>
      </c>
      <c r="S184">
        <v>1.0562166272782501E-5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6.7938350770970198E-5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4.5600541512517197E-5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f>MAX(E184:CI184)</f>
        <v>6.7938350770970198E-5</v>
      </c>
    </row>
    <row r="185" spans="1:88" x14ac:dyDescent="0.2">
      <c r="A185" t="s">
        <v>329</v>
      </c>
      <c r="B185" t="s">
        <v>324</v>
      </c>
      <c r="C185" t="s">
        <v>230</v>
      </c>
      <c r="D185" t="s">
        <v>214</v>
      </c>
      <c r="E185">
        <v>0</v>
      </c>
      <c r="F185">
        <v>2.1372779242853002E-5</v>
      </c>
      <c r="G185">
        <v>0</v>
      </c>
      <c r="H185">
        <v>8.0962703189825801E-5</v>
      </c>
      <c r="I185">
        <v>1.08141901083897E-4</v>
      </c>
      <c r="J185">
        <v>0</v>
      </c>
      <c r="K185">
        <v>2.0168611480874799E-5</v>
      </c>
      <c r="L185">
        <v>1.01963797079006E-4</v>
      </c>
      <c r="M185">
        <v>0</v>
      </c>
      <c r="N185">
        <v>0</v>
      </c>
      <c r="O185">
        <v>5.3717030910776198E-5</v>
      </c>
      <c r="P185">
        <v>9.1621416111693194E-5</v>
      </c>
      <c r="Q185">
        <v>5.6935219590884799E-5</v>
      </c>
      <c r="R185">
        <v>5.0727679932942303E-5</v>
      </c>
      <c r="S185">
        <v>1.95663131530569E-5</v>
      </c>
      <c r="T185">
        <v>0</v>
      </c>
      <c r="U185">
        <v>2.9140097463464597E-4</v>
      </c>
      <c r="V185">
        <v>1.20499709522881E-4</v>
      </c>
      <c r="W185">
        <v>1.90578980778666E-4</v>
      </c>
      <c r="X185">
        <v>0</v>
      </c>
      <c r="Y185">
        <v>3.68762711781326E-5</v>
      </c>
      <c r="Z185">
        <v>0</v>
      </c>
      <c r="AA185">
        <v>0</v>
      </c>
      <c r="AB185">
        <v>2.1871169180269001E-5</v>
      </c>
      <c r="AC185">
        <v>3.0083474930225399E-5</v>
      </c>
      <c r="AD185">
        <v>0</v>
      </c>
      <c r="AE185">
        <v>3.1677799085964799E-4</v>
      </c>
      <c r="AF185">
        <v>0</v>
      </c>
      <c r="AG185">
        <v>1.2363544604531001E-4</v>
      </c>
      <c r="AH185">
        <v>0</v>
      </c>
      <c r="AI185">
        <v>7.5136679765792097E-5</v>
      </c>
      <c r="AJ185">
        <v>0</v>
      </c>
      <c r="AK185">
        <v>2.0449891116977501E-5</v>
      </c>
      <c r="AL185">
        <v>2.0726071880197701E-5</v>
      </c>
      <c r="AM185">
        <v>0</v>
      </c>
      <c r="AN185">
        <v>0</v>
      </c>
      <c r="AO185">
        <v>0</v>
      </c>
      <c r="AP185">
        <v>3.1891944526405998E-5</v>
      </c>
      <c r="AQ185">
        <v>1.1144202628255301E-3</v>
      </c>
      <c r="AR185">
        <v>0</v>
      </c>
      <c r="AS185">
        <v>2.1134063111537499E-5</v>
      </c>
      <c r="AT185">
        <v>2.1287320553592901E-5</v>
      </c>
      <c r="AU185">
        <v>0</v>
      </c>
      <c r="AV185">
        <v>3.6108213359992299E-5</v>
      </c>
      <c r="AW185">
        <v>2.5285177110319001E-5</v>
      </c>
      <c r="AX185">
        <v>0</v>
      </c>
      <c r="AY185">
        <v>0</v>
      </c>
      <c r="AZ185">
        <v>0</v>
      </c>
      <c r="BA185">
        <v>0</v>
      </c>
      <c r="BB185">
        <v>2.66808708115436E-5</v>
      </c>
      <c r="BC185">
        <v>1.1710730860328E-4</v>
      </c>
      <c r="BD185">
        <v>0</v>
      </c>
      <c r="BE185">
        <v>7.8597005502077695E-5</v>
      </c>
      <c r="BF185">
        <v>1.29574338390563E-4</v>
      </c>
      <c r="BG185">
        <v>0</v>
      </c>
      <c r="BH185">
        <v>3.75679069888088E-5</v>
      </c>
      <c r="BI185">
        <v>0</v>
      </c>
      <c r="BJ185">
        <v>4.1234620317885299E-4</v>
      </c>
      <c r="BK185">
        <v>3.7990936560068601E-5</v>
      </c>
      <c r="BL185">
        <v>5.1428043194879202E-5</v>
      </c>
      <c r="BM185">
        <v>2.1163281077150799E-5</v>
      </c>
      <c r="BN185">
        <v>0</v>
      </c>
      <c r="BO185">
        <v>0</v>
      </c>
      <c r="BP185">
        <v>0</v>
      </c>
      <c r="BQ185">
        <v>5.1673395461943999E-5</v>
      </c>
      <c r="BR185">
        <v>1.6524639738457101E-5</v>
      </c>
      <c r="BS185">
        <v>0</v>
      </c>
      <c r="BT185">
        <v>0</v>
      </c>
      <c r="BU185">
        <v>2.7947051806694001E-5</v>
      </c>
      <c r="BV185">
        <v>0</v>
      </c>
      <c r="BW185">
        <v>7.9152201752008997E-5</v>
      </c>
      <c r="BX185">
        <v>0</v>
      </c>
      <c r="BY185">
        <v>4.0794160477125399E-5</v>
      </c>
      <c r="BZ185">
        <v>3.6458097329019697E-5</v>
      </c>
      <c r="CA185">
        <v>0</v>
      </c>
      <c r="CB185">
        <v>1.38688355968599E-5</v>
      </c>
      <c r="CC185">
        <v>3.9710101762172098E-5</v>
      </c>
      <c r="CD185">
        <v>0</v>
      </c>
      <c r="CE185">
        <v>0</v>
      </c>
      <c r="CF185">
        <v>0</v>
      </c>
      <c r="CG185">
        <v>6.2799183907676095E-5</v>
      </c>
      <c r="CH185">
        <v>0</v>
      </c>
      <c r="CI185">
        <v>4.0267530842644201E-5</v>
      </c>
      <c r="CJ185">
        <f>MAX(E185:CI185)</f>
        <v>1.1144202628255301E-3</v>
      </c>
    </row>
    <row r="186" spans="1:88" x14ac:dyDescent="0.2">
      <c r="A186" t="s">
        <v>330</v>
      </c>
      <c r="B186" t="s">
        <v>324</v>
      </c>
      <c r="C186" t="s">
        <v>230</v>
      </c>
      <c r="D186" t="s">
        <v>214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3.6122183957252403E-5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3.7820999342199501E-5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6.2780533217804294E-5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1.14894965746798E-4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f>MAX(E186:CI186)</f>
        <v>1.14894965746798E-4</v>
      </c>
    </row>
    <row r="187" spans="1:88" x14ac:dyDescent="0.2">
      <c r="A187" t="s">
        <v>331</v>
      </c>
      <c r="B187" t="s">
        <v>331</v>
      </c>
      <c r="C187" t="s">
        <v>118</v>
      </c>
      <c r="D187" t="s">
        <v>119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1.39496400043212E-5</v>
      </c>
      <c r="Z187">
        <v>0</v>
      </c>
      <c r="AA187">
        <v>9.0782471085585098E-6</v>
      </c>
      <c r="AB187">
        <v>0</v>
      </c>
      <c r="AC187">
        <v>1.87646729722683E-5</v>
      </c>
      <c r="AD187">
        <v>0</v>
      </c>
      <c r="AE187">
        <v>1.8308341306271401E-5</v>
      </c>
      <c r="AF187">
        <v>9.1100340455710101E-6</v>
      </c>
      <c r="AG187">
        <v>0</v>
      </c>
      <c r="AH187">
        <v>0</v>
      </c>
      <c r="AI187">
        <v>0</v>
      </c>
      <c r="AJ187">
        <v>0</v>
      </c>
      <c r="AK187">
        <v>3.71696096311491E-5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1.4736522108909599E-5</v>
      </c>
      <c r="AW187">
        <v>3.1683999663108702E-5</v>
      </c>
      <c r="AX187">
        <v>0</v>
      </c>
      <c r="AY187">
        <v>9.8219789717741494E-6</v>
      </c>
      <c r="AZ187">
        <v>1.49603240251588E-5</v>
      </c>
      <c r="BA187">
        <v>0</v>
      </c>
      <c r="BB187">
        <v>1.05179717495991E-5</v>
      </c>
      <c r="BC187">
        <v>0</v>
      </c>
      <c r="BD187">
        <v>2.1539965333134099E-5</v>
      </c>
      <c r="BE187">
        <v>0</v>
      </c>
      <c r="BF187">
        <v>0</v>
      </c>
      <c r="BG187">
        <v>0</v>
      </c>
      <c r="BH187">
        <v>1.47466033881985E-5</v>
      </c>
      <c r="BI187">
        <v>9.4845340497199295E-6</v>
      </c>
      <c r="BJ187">
        <v>7.2918210162807798E-6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1.07963013940625E-5</v>
      </c>
      <c r="BT187">
        <v>0</v>
      </c>
      <c r="BU187">
        <v>0</v>
      </c>
      <c r="BV187">
        <v>4.9117358196587501E-5</v>
      </c>
      <c r="BW187">
        <v>0</v>
      </c>
      <c r="BX187">
        <v>0</v>
      </c>
      <c r="BY187">
        <v>0</v>
      </c>
      <c r="BZ187">
        <v>0</v>
      </c>
      <c r="CA187">
        <v>2.1858633077558001E-5</v>
      </c>
      <c r="CB187">
        <v>1.09799661187732E-5</v>
      </c>
      <c r="CC187">
        <v>0</v>
      </c>
      <c r="CD187">
        <v>0</v>
      </c>
      <c r="CE187">
        <v>0</v>
      </c>
      <c r="CF187">
        <v>0</v>
      </c>
      <c r="CG187">
        <v>9.74459962446932E-6</v>
      </c>
      <c r="CH187">
        <v>0</v>
      </c>
      <c r="CI187">
        <v>0</v>
      </c>
      <c r="CJ187">
        <f>MAX(E187:CI187)</f>
        <v>4.9117358196587501E-5</v>
      </c>
    </row>
    <row r="188" spans="1:88" x14ac:dyDescent="0.2">
      <c r="A188" t="s">
        <v>332</v>
      </c>
      <c r="B188" t="s">
        <v>332</v>
      </c>
      <c r="C188" t="s">
        <v>230</v>
      </c>
      <c r="D188" t="s">
        <v>214</v>
      </c>
      <c r="E188">
        <v>0</v>
      </c>
      <c r="F188">
        <v>0</v>
      </c>
      <c r="G188">
        <v>0</v>
      </c>
      <c r="H188">
        <v>9.8621362904922804E-5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4.1077215839014698E-5</v>
      </c>
      <c r="V188">
        <v>4.7051015367485402E-5</v>
      </c>
      <c r="W188">
        <v>1.2814509872320799E-5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1.0395107861304801E-5</v>
      </c>
      <c r="AI188">
        <v>0</v>
      </c>
      <c r="AJ188">
        <v>0</v>
      </c>
      <c r="AK188">
        <v>8.8454921211660997E-6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1.23888786779896E-5</v>
      </c>
      <c r="AW188">
        <v>0</v>
      </c>
      <c r="AX188">
        <v>0</v>
      </c>
      <c r="AY188">
        <v>1.48881590599581E-5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1.61388282559897E-5</v>
      </c>
      <c r="BJ188">
        <v>0</v>
      </c>
      <c r="BK188">
        <v>0</v>
      </c>
      <c r="BL188">
        <v>6.6876879413438697E-6</v>
      </c>
      <c r="BM188">
        <v>0</v>
      </c>
      <c r="BN188">
        <v>0</v>
      </c>
      <c r="BO188">
        <v>7.4743770096454703E-5</v>
      </c>
      <c r="BP188">
        <v>2.3222982772292198E-5</v>
      </c>
      <c r="BQ188">
        <v>0</v>
      </c>
      <c r="BR188">
        <v>0</v>
      </c>
      <c r="BS188">
        <v>0</v>
      </c>
      <c r="BT188">
        <v>5.18944603396323E-5</v>
      </c>
      <c r="BU188">
        <v>0</v>
      </c>
      <c r="BV188">
        <v>0</v>
      </c>
      <c r="BW188">
        <v>0</v>
      </c>
      <c r="BX188">
        <v>1.0145886508335901E-5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1.35986563840145E-5</v>
      </c>
      <c r="CI188">
        <v>1.22990622602948E-4</v>
      </c>
      <c r="CJ188">
        <f>MAX(E188:CI188)</f>
        <v>1.22990622602948E-4</v>
      </c>
    </row>
    <row r="189" spans="1:88" x14ac:dyDescent="0.2">
      <c r="A189" t="s">
        <v>333</v>
      </c>
      <c r="B189" t="s">
        <v>333</v>
      </c>
      <c r="C189" t="s">
        <v>218</v>
      </c>
      <c r="D189" t="s">
        <v>218</v>
      </c>
      <c r="E189">
        <v>1.1852773899798699E-5</v>
      </c>
      <c r="F189">
        <v>0</v>
      </c>
      <c r="G189">
        <v>0</v>
      </c>
      <c r="H189">
        <v>0</v>
      </c>
      <c r="I189">
        <v>3.7937700180003501E-5</v>
      </c>
      <c r="J189">
        <v>8.5678923257319099E-6</v>
      </c>
      <c r="K189">
        <v>1.22677805900917E-5</v>
      </c>
      <c r="L189">
        <v>0</v>
      </c>
      <c r="M189">
        <v>0</v>
      </c>
      <c r="N189">
        <v>0</v>
      </c>
      <c r="O189">
        <v>0</v>
      </c>
      <c r="P189">
        <v>1.0954586777402401E-5</v>
      </c>
      <c r="Q189">
        <v>0</v>
      </c>
      <c r="R189">
        <v>3.2633375631486403E-5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2.29561471535827E-5</v>
      </c>
      <c r="Y189">
        <v>1.9309987826972999E-5</v>
      </c>
      <c r="Z189">
        <v>1.35974352683684E-5</v>
      </c>
      <c r="AA189">
        <v>1.0792573127551E-5</v>
      </c>
      <c r="AB189">
        <v>1.31467983006562E-5</v>
      </c>
      <c r="AC189">
        <v>0</v>
      </c>
      <c r="AD189">
        <v>2.7602854742957E-5</v>
      </c>
      <c r="AE189">
        <v>1.4729194598495799E-5</v>
      </c>
      <c r="AF189">
        <v>5.1530457707550798E-5</v>
      </c>
      <c r="AG189">
        <v>2.5306495077385701E-5</v>
      </c>
      <c r="AH189">
        <v>1.16026181619024E-5</v>
      </c>
      <c r="AI189">
        <v>0</v>
      </c>
      <c r="AJ189">
        <v>1.2859467938752E-5</v>
      </c>
      <c r="AK189">
        <v>0</v>
      </c>
      <c r="AL189">
        <v>0</v>
      </c>
      <c r="AM189">
        <v>4.8772834955620302E-5</v>
      </c>
      <c r="AN189">
        <v>2.7116210710524501E-5</v>
      </c>
      <c r="AO189">
        <v>0</v>
      </c>
      <c r="AP189">
        <v>0</v>
      </c>
      <c r="AQ189">
        <v>1.3540291060735799E-3</v>
      </c>
      <c r="AR189">
        <v>3.9279323553219401E-5</v>
      </c>
      <c r="AS189">
        <v>1.22832134836204E-5</v>
      </c>
      <c r="AT189">
        <v>1.0893463936866601E-5</v>
      </c>
      <c r="AU189">
        <v>1.3408370442139401E-5</v>
      </c>
      <c r="AV189">
        <v>0</v>
      </c>
      <c r="AW189">
        <v>0</v>
      </c>
      <c r="AX189">
        <v>1.47880190036315E-5</v>
      </c>
      <c r="AY189">
        <v>0</v>
      </c>
      <c r="AZ189">
        <v>0</v>
      </c>
      <c r="BA189">
        <v>1.5671263031111499E-5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1.00172612427504E-5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1.30578296926669E-5</v>
      </c>
      <c r="BT189">
        <v>0</v>
      </c>
      <c r="BU189">
        <v>6.9994513612956998E-6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1.4308792968792199E-5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5.8278987765331402E-5</v>
      </c>
      <c r="CJ189">
        <f>MAX(E189:CI189)</f>
        <v>1.3540291060735799E-3</v>
      </c>
    </row>
    <row r="190" spans="1:88" x14ac:dyDescent="0.2">
      <c r="A190" t="s">
        <v>334</v>
      </c>
      <c r="B190" t="s">
        <v>334</v>
      </c>
      <c r="C190" t="s">
        <v>218</v>
      </c>
      <c r="D190" t="s">
        <v>218</v>
      </c>
      <c r="E190">
        <v>5.4678929072676996E-3</v>
      </c>
      <c r="F190">
        <v>6.9000303341222296E-3</v>
      </c>
      <c r="G190">
        <v>4.6894941669871702E-2</v>
      </c>
      <c r="H190">
        <v>2.5834436906527002E-2</v>
      </c>
      <c r="I190">
        <v>2.7332918097154801E-3</v>
      </c>
      <c r="J190">
        <v>4.3783149608490404E-3</v>
      </c>
      <c r="K190">
        <v>1.93578000658601E-2</v>
      </c>
      <c r="L190">
        <v>4.2768596635439802E-3</v>
      </c>
      <c r="M190">
        <v>4.4169247463477796E-3</v>
      </c>
      <c r="N190">
        <v>2.2588427581396201E-3</v>
      </c>
      <c r="O190">
        <v>4.2875677933489299E-3</v>
      </c>
      <c r="P190">
        <v>6.4349918322016498E-3</v>
      </c>
      <c r="Q190">
        <v>2.0121205658523399E-3</v>
      </c>
      <c r="R190">
        <v>4.8987694409105501E-3</v>
      </c>
      <c r="S190">
        <v>4.5515047468359599E-3</v>
      </c>
      <c r="T190">
        <v>3.3656581300352201E-3</v>
      </c>
      <c r="U190">
        <v>8.5211458723749994E-3</v>
      </c>
      <c r="V190">
        <v>3.7033861666037702E-3</v>
      </c>
      <c r="W190">
        <v>8.0198639330220298E-3</v>
      </c>
      <c r="X190">
        <v>5.49265093591175E-3</v>
      </c>
      <c r="Y190">
        <v>9.6193339013037893E-3</v>
      </c>
      <c r="Z190">
        <v>7.5524524560917098E-3</v>
      </c>
      <c r="AA190">
        <v>9.9701800214874493E-3</v>
      </c>
      <c r="AB190">
        <v>3.55028322156016E-3</v>
      </c>
      <c r="AC190">
        <v>2.9472976647964801E-2</v>
      </c>
      <c r="AD190">
        <v>1.37197121614472E-2</v>
      </c>
      <c r="AE190">
        <v>2.1257931339431501E-2</v>
      </c>
      <c r="AF190">
        <v>4.9118376079205599E-2</v>
      </c>
      <c r="AG190">
        <v>1.06505981759037E-2</v>
      </c>
      <c r="AH190">
        <v>9.9432188882191599E-3</v>
      </c>
      <c r="AI190">
        <v>4.8803952976303596E-3</v>
      </c>
      <c r="AJ190">
        <v>6.6860250592939898E-3</v>
      </c>
      <c r="AK190">
        <v>7.6845422020218402E-3</v>
      </c>
      <c r="AL190">
        <v>8.4301053114902696E-3</v>
      </c>
      <c r="AM190">
        <v>8.2616539492644595E-3</v>
      </c>
      <c r="AN190">
        <v>1.13861788166893E-2</v>
      </c>
      <c r="AO190">
        <v>4.3525924059467499E-3</v>
      </c>
      <c r="AP190">
        <v>0</v>
      </c>
      <c r="AQ190">
        <v>0</v>
      </c>
      <c r="AR190">
        <v>8.4813893390568804E-3</v>
      </c>
      <c r="AS190">
        <v>1.7350620067653699E-2</v>
      </c>
      <c r="AT190">
        <v>3.6127757072087099E-3</v>
      </c>
      <c r="AU190">
        <v>1.9297853272296099E-2</v>
      </c>
      <c r="AV190">
        <v>2.4205385293994498E-2</v>
      </c>
      <c r="AW190">
        <v>4.4604533332962701E-2</v>
      </c>
      <c r="AX190">
        <v>1.02450480591098E-2</v>
      </c>
      <c r="AY190">
        <v>1.1331411207000401E-2</v>
      </c>
      <c r="AZ190">
        <v>1.3716300778726801E-2</v>
      </c>
      <c r="BA190">
        <v>2.2255071812551201E-2</v>
      </c>
      <c r="BB190">
        <v>1.3747983429227501E-2</v>
      </c>
      <c r="BC190">
        <v>6.9411910798983399E-3</v>
      </c>
      <c r="BD190">
        <v>3.5382783900503201E-2</v>
      </c>
      <c r="BE190">
        <v>1.6767372012504299E-2</v>
      </c>
      <c r="BF190">
        <v>1.16937821806385E-2</v>
      </c>
      <c r="BG190">
        <v>3.3028283216386001E-3</v>
      </c>
      <c r="BH190">
        <v>1.5323994943297401E-2</v>
      </c>
      <c r="BI190">
        <v>1.10108792498716E-2</v>
      </c>
      <c r="BJ190">
        <v>1.67830156674342E-2</v>
      </c>
      <c r="BK190">
        <v>6.5422931456839296E-3</v>
      </c>
      <c r="BL190">
        <v>2.2882685938098501E-2</v>
      </c>
      <c r="BM190">
        <v>7.8582528732020693E-3</v>
      </c>
      <c r="BN190">
        <v>8.1364320152408597E-3</v>
      </c>
      <c r="BO190">
        <v>1.0171148614509301E-2</v>
      </c>
      <c r="BP190">
        <v>1.5352390200017101E-2</v>
      </c>
      <c r="BQ190">
        <v>1.58306592155825E-2</v>
      </c>
      <c r="BR190">
        <v>5.0497979303281898E-2</v>
      </c>
      <c r="BS190">
        <v>2.7567221768202799E-2</v>
      </c>
      <c r="BT190">
        <v>2.0096572769619899E-2</v>
      </c>
      <c r="BU190">
        <v>1.11442539493232E-2</v>
      </c>
      <c r="BV190">
        <v>2.7394160756983301E-3</v>
      </c>
      <c r="BW190">
        <v>1.55603728812038E-2</v>
      </c>
      <c r="BX190">
        <v>1.2122382966917601E-2</v>
      </c>
      <c r="BY190">
        <v>8.6469112202298502E-3</v>
      </c>
      <c r="BZ190">
        <v>1.1836491757197899E-2</v>
      </c>
      <c r="CA190">
        <v>1.8676478834297398E-2</v>
      </c>
      <c r="CB190">
        <v>2.77263052340029E-2</v>
      </c>
      <c r="CC190">
        <v>1.8550857954313601E-2</v>
      </c>
      <c r="CD190">
        <v>8.3280054363300098E-3</v>
      </c>
      <c r="CE190">
        <v>1.7429783794755099E-2</v>
      </c>
      <c r="CF190">
        <v>1.5738415258627399E-2</v>
      </c>
      <c r="CG190">
        <v>2.1575854265263199E-2</v>
      </c>
      <c r="CH190">
        <v>1.3456899221587401E-2</v>
      </c>
      <c r="CI190">
        <v>1.02369834224444E-2</v>
      </c>
      <c r="CJ190">
        <f>MAX(E190:CI190)</f>
        <v>5.0497979303281898E-2</v>
      </c>
    </row>
    <row r="191" spans="1:88" x14ac:dyDescent="0.2">
      <c r="A191" t="s">
        <v>335</v>
      </c>
      <c r="B191" t="s">
        <v>335</v>
      </c>
      <c r="C191" t="s">
        <v>118</v>
      </c>
      <c r="D191" t="s">
        <v>119</v>
      </c>
      <c r="E191">
        <v>9.8094125535348094E-5</v>
      </c>
      <c r="F191">
        <v>2.3586092639882501E-5</v>
      </c>
      <c r="G191">
        <v>1.8082230456952299E-5</v>
      </c>
      <c r="H191">
        <v>1.37598278357374E-4</v>
      </c>
      <c r="I191">
        <v>0</v>
      </c>
      <c r="J191">
        <v>1.74832835030606E-4</v>
      </c>
      <c r="K191">
        <v>1.11178548557626E-4</v>
      </c>
      <c r="L191">
        <v>2.7870515396900399E-5</v>
      </c>
      <c r="M191">
        <v>4.0194719289681197E-5</v>
      </c>
      <c r="N191">
        <v>0</v>
      </c>
      <c r="O191">
        <v>7.5011698610127502E-5</v>
      </c>
      <c r="P191">
        <v>0</v>
      </c>
      <c r="Q191">
        <v>8.3617080492831499E-5</v>
      </c>
      <c r="R191">
        <v>1.75103569781925E-4</v>
      </c>
      <c r="S191">
        <v>0</v>
      </c>
      <c r="T191">
        <v>8.2157648409922197E-5</v>
      </c>
      <c r="U191">
        <v>0</v>
      </c>
      <c r="V191">
        <v>1.0431697864358699E-4</v>
      </c>
      <c r="W191">
        <v>0</v>
      </c>
      <c r="X191">
        <v>0</v>
      </c>
      <c r="Y191">
        <v>0</v>
      </c>
      <c r="Z191">
        <v>2.0405441698568798E-5</v>
      </c>
      <c r="AA191">
        <v>1.13144122871888E-4</v>
      </c>
      <c r="AB191">
        <v>0</v>
      </c>
      <c r="AC191">
        <v>5.04596228326263E-5</v>
      </c>
      <c r="AD191">
        <v>0</v>
      </c>
      <c r="AE191">
        <v>1.8996255402968E-4</v>
      </c>
      <c r="AF191">
        <v>0</v>
      </c>
      <c r="AG191">
        <v>0</v>
      </c>
      <c r="AH191">
        <v>2.1419878349385001E-4</v>
      </c>
      <c r="AI191">
        <v>8.4704210715353295E-5</v>
      </c>
      <c r="AJ191">
        <v>0</v>
      </c>
      <c r="AK191">
        <v>5.1514323390055802E-4</v>
      </c>
      <c r="AL191">
        <v>9.8366903406727098E-5</v>
      </c>
      <c r="AM191">
        <v>2.3560852476470099E-5</v>
      </c>
      <c r="AN191">
        <v>0</v>
      </c>
      <c r="AO191">
        <v>1.37306785511522E-4</v>
      </c>
      <c r="AP191">
        <v>3.0426430096687099E-5</v>
      </c>
      <c r="AQ191">
        <v>1.9748176496063902E-3</v>
      </c>
      <c r="AR191">
        <v>0</v>
      </c>
      <c r="AS191">
        <v>7.27012704176353E-5</v>
      </c>
      <c r="AT191">
        <v>0</v>
      </c>
      <c r="AU191">
        <v>6.7314558235793205E-4</v>
      </c>
      <c r="AV191">
        <v>3.7596896774612701E-4</v>
      </c>
      <c r="AW191">
        <v>0</v>
      </c>
      <c r="AX191">
        <v>0</v>
      </c>
      <c r="AY191">
        <v>9.2083962645282693E-5</v>
      </c>
      <c r="AZ191">
        <v>2.0858640544346299E-5</v>
      </c>
      <c r="BA191">
        <v>0</v>
      </c>
      <c r="BB191">
        <v>2.1745830572190702E-5</v>
      </c>
      <c r="BC191">
        <v>4.2175282473014003E-5</v>
      </c>
      <c r="BD191">
        <v>1.12394743361235E-4</v>
      </c>
      <c r="BE191">
        <v>8.2167864493772007E-5</v>
      </c>
      <c r="BF191">
        <v>2.65464223696005E-4</v>
      </c>
      <c r="BG191">
        <v>3.0278823750307699E-5</v>
      </c>
      <c r="BH191">
        <v>4.4622921448452701E-4</v>
      </c>
      <c r="BI191">
        <v>0</v>
      </c>
      <c r="BJ191">
        <v>2.48543265476737E-5</v>
      </c>
      <c r="BK191">
        <v>2.65450165227096E-5</v>
      </c>
      <c r="BL191">
        <v>9.1151118042869501E-5</v>
      </c>
      <c r="BM191">
        <v>0</v>
      </c>
      <c r="BN191">
        <v>5.1263824113074197E-5</v>
      </c>
      <c r="BO191">
        <v>8.8064525617636806E-5</v>
      </c>
      <c r="BP191">
        <v>2.5485960167261601E-5</v>
      </c>
      <c r="BQ191">
        <v>1.45491961832228E-5</v>
      </c>
      <c r="BR191">
        <v>8.0171313686209605E-5</v>
      </c>
      <c r="BS191">
        <v>0</v>
      </c>
      <c r="BT191">
        <v>0</v>
      </c>
      <c r="BU191">
        <v>1.20252745341914E-4</v>
      </c>
      <c r="BV191">
        <v>0</v>
      </c>
      <c r="BW191">
        <v>3.98783334061703E-5</v>
      </c>
      <c r="BX191">
        <v>4.1153331636063402E-5</v>
      </c>
      <c r="BY191">
        <v>0</v>
      </c>
      <c r="BZ191">
        <v>0</v>
      </c>
      <c r="CA191">
        <v>8.97995168435979E-6</v>
      </c>
      <c r="CB191">
        <v>1.4228430602644199E-4</v>
      </c>
      <c r="CC191">
        <v>5.5128604615674399E-5</v>
      </c>
      <c r="CD191">
        <v>7.2955325590299102E-5</v>
      </c>
      <c r="CE191">
        <v>3.1382894727748501E-4</v>
      </c>
      <c r="CF191">
        <v>3.2681350899154798E-4</v>
      </c>
      <c r="CG191">
        <v>3.32458162347127E-4</v>
      </c>
      <c r="CH191">
        <v>0</v>
      </c>
      <c r="CI191">
        <v>0</v>
      </c>
      <c r="CJ191">
        <f>MAX(E191:CI191)</f>
        <v>1.9748176496063902E-3</v>
      </c>
    </row>
    <row r="192" spans="1:88" x14ac:dyDescent="0.2">
      <c r="A192" t="s">
        <v>336</v>
      </c>
      <c r="B192" t="s">
        <v>336</v>
      </c>
      <c r="C192" t="s">
        <v>118</v>
      </c>
      <c r="D192" t="s">
        <v>119</v>
      </c>
      <c r="E192">
        <v>6.4639799399953502E-5</v>
      </c>
      <c r="F192">
        <v>0</v>
      </c>
      <c r="G192">
        <v>2.97295954830767E-5</v>
      </c>
      <c r="H192">
        <v>1.7708060618794801E-5</v>
      </c>
      <c r="I192">
        <v>0</v>
      </c>
      <c r="J192">
        <v>0</v>
      </c>
      <c r="K192">
        <v>0</v>
      </c>
      <c r="L192">
        <v>1.0889300933334301E-4</v>
      </c>
      <c r="M192">
        <v>0</v>
      </c>
      <c r="N192">
        <v>6.5890833305501894E-5</v>
      </c>
      <c r="O192">
        <v>9.7954637100757097E-5</v>
      </c>
      <c r="P192">
        <v>8.2088061505009697E-6</v>
      </c>
      <c r="Q192">
        <v>7.2894875743867896E-5</v>
      </c>
      <c r="R192">
        <v>0</v>
      </c>
      <c r="S192">
        <v>1.3207846105677199E-4</v>
      </c>
      <c r="T192">
        <v>0</v>
      </c>
      <c r="U192">
        <v>3.8093423064768401E-5</v>
      </c>
      <c r="V192">
        <v>0</v>
      </c>
      <c r="W192">
        <v>0</v>
      </c>
      <c r="X192">
        <v>1.1484762008159401E-5</v>
      </c>
      <c r="Y192">
        <v>0</v>
      </c>
      <c r="Z192">
        <v>0</v>
      </c>
      <c r="AA192">
        <v>0</v>
      </c>
      <c r="AB192">
        <v>1.15708962628352E-4</v>
      </c>
      <c r="AC192">
        <v>4.5768744574608599E-5</v>
      </c>
      <c r="AD192">
        <v>2.4809042323622701E-5</v>
      </c>
      <c r="AE192">
        <v>2.0893057524404399E-4</v>
      </c>
      <c r="AF192">
        <v>5.6354941072549602E-5</v>
      </c>
      <c r="AG192">
        <v>6.44903895094889E-5</v>
      </c>
      <c r="AH192">
        <v>0</v>
      </c>
      <c r="AI192">
        <v>6.5895233310671103E-4</v>
      </c>
      <c r="AJ192">
        <v>0</v>
      </c>
      <c r="AK192">
        <v>3.2528422333297598E-4</v>
      </c>
      <c r="AL192">
        <v>1.5676532241586601E-4</v>
      </c>
      <c r="AM192">
        <v>4.9800992724709E-5</v>
      </c>
      <c r="AN192">
        <v>2.0861042122328401E-4</v>
      </c>
      <c r="AO192">
        <v>9.1316235614935905E-5</v>
      </c>
      <c r="AP192">
        <v>0</v>
      </c>
      <c r="AQ192">
        <v>0</v>
      </c>
      <c r="AR192">
        <v>0</v>
      </c>
      <c r="AS192">
        <v>2.4814698336430702E-5</v>
      </c>
      <c r="AT192">
        <v>5.2133394073835403E-5</v>
      </c>
      <c r="AU192">
        <v>8.2942094841322305E-4</v>
      </c>
      <c r="AV192">
        <v>8.0816306824616204E-5</v>
      </c>
      <c r="AW192">
        <v>1.5738705173620499E-4</v>
      </c>
      <c r="AX192">
        <v>0</v>
      </c>
      <c r="AY192">
        <v>1.06953253432607E-4</v>
      </c>
      <c r="AZ192">
        <v>0</v>
      </c>
      <c r="BA192">
        <v>0</v>
      </c>
      <c r="BB192">
        <v>3.9290992560225503E-5</v>
      </c>
      <c r="BC192">
        <v>1.14721548387254E-5</v>
      </c>
      <c r="BD192">
        <v>0</v>
      </c>
      <c r="BE192">
        <v>0</v>
      </c>
      <c r="BF192">
        <v>0</v>
      </c>
      <c r="BG192">
        <v>1.38958782389566E-5</v>
      </c>
      <c r="BH192">
        <v>2.4862683415753699E-4</v>
      </c>
      <c r="BI192">
        <v>4.36869776084852E-5</v>
      </c>
      <c r="BJ192">
        <v>7.0053848691333101E-5</v>
      </c>
      <c r="BK192">
        <v>3.4555246869379198E-5</v>
      </c>
      <c r="BL192">
        <v>0</v>
      </c>
      <c r="BM192">
        <v>0</v>
      </c>
      <c r="BN192">
        <v>1.2921502025623599E-4</v>
      </c>
      <c r="BO192">
        <v>1.71090935118091E-4</v>
      </c>
      <c r="BP192">
        <v>1.12617011927021E-4</v>
      </c>
      <c r="BQ192">
        <v>5.1340370683043898E-5</v>
      </c>
      <c r="BR192">
        <v>7.3454431184030502E-5</v>
      </c>
      <c r="BS192">
        <v>5.1462869710641602E-5</v>
      </c>
      <c r="BT192">
        <v>1.02647883720499E-4</v>
      </c>
      <c r="BU192">
        <v>2.4295676709067001E-5</v>
      </c>
      <c r="BV192">
        <v>0</v>
      </c>
      <c r="BW192">
        <v>2.0202634184434599E-5</v>
      </c>
      <c r="BX192">
        <v>3.6300282093533897E-5</v>
      </c>
      <c r="BY192">
        <v>3.6981881272950201E-5</v>
      </c>
      <c r="BZ192">
        <v>5.63420960939739E-5</v>
      </c>
      <c r="CA192">
        <v>1.6060312814897699E-5</v>
      </c>
      <c r="CB192">
        <v>1.5489878099114799E-4</v>
      </c>
      <c r="CC192">
        <v>1.8362508084242101E-4</v>
      </c>
      <c r="CD192">
        <v>0</v>
      </c>
      <c r="CE192">
        <v>1.9173835629566601E-4</v>
      </c>
      <c r="CF192">
        <v>1.7226855069954499E-4</v>
      </c>
      <c r="CG192">
        <v>4.7090575712082402E-4</v>
      </c>
      <c r="CH192">
        <v>0</v>
      </c>
      <c r="CI192">
        <v>0</v>
      </c>
      <c r="CJ192">
        <f>MAX(E192:CI192)</f>
        <v>8.2942094841322305E-4</v>
      </c>
    </row>
    <row r="193" spans="1:88" x14ac:dyDescent="0.2">
      <c r="A193" t="s">
        <v>337</v>
      </c>
      <c r="B193" t="s">
        <v>337</v>
      </c>
      <c r="C193" t="s">
        <v>338</v>
      </c>
      <c r="D193" t="s">
        <v>148</v>
      </c>
      <c r="E193">
        <v>0</v>
      </c>
      <c r="F193">
        <v>1.41423962044949E-4</v>
      </c>
      <c r="G193">
        <v>0</v>
      </c>
      <c r="H193">
        <v>1.09377753702919E-4</v>
      </c>
      <c r="I193">
        <v>0</v>
      </c>
      <c r="J193">
        <v>0</v>
      </c>
      <c r="K193">
        <v>4.5339737354225E-4</v>
      </c>
      <c r="L193">
        <v>4.0018794307025199E-5</v>
      </c>
      <c r="M193">
        <v>6.6396624334798507E-5</v>
      </c>
      <c r="N193">
        <v>0</v>
      </c>
      <c r="O193">
        <v>4.6924429366028097E-5</v>
      </c>
      <c r="P193">
        <v>4.0209993231625202E-5</v>
      </c>
      <c r="Q193">
        <v>0</v>
      </c>
      <c r="R193">
        <v>0</v>
      </c>
      <c r="S193">
        <v>2.92201876085543E-5</v>
      </c>
      <c r="T193">
        <v>1.11581706729751E-4</v>
      </c>
      <c r="U193">
        <v>0</v>
      </c>
      <c r="V193">
        <v>0</v>
      </c>
      <c r="W193">
        <v>3.94898059817643E-4</v>
      </c>
      <c r="X193">
        <v>3.15520804059716E-5</v>
      </c>
      <c r="Y193">
        <v>2.80188947597421E-4</v>
      </c>
      <c r="Z193">
        <v>6.7123871913754305E-5</v>
      </c>
      <c r="AA193">
        <v>5.0148159673231896E-4</v>
      </c>
      <c r="AB193">
        <v>1.7985685706450501E-5</v>
      </c>
      <c r="AC193">
        <v>6.9319592337296703E-4</v>
      </c>
      <c r="AD193">
        <v>0</v>
      </c>
      <c r="AE193">
        <v>0</v>
      </c>
      <c r="AF193">
        <v>2.2632211865419001E-4</v>
      </c>
      <c r="AG193">
        <v>2.2856093289711399E-4</v>
      </c>
      <c r="AH193">
        <v>2.0180968289826599E-4</v>
      </c>
      <c r="AI193">
        <v>0</v>
      </c>
      <c r="AJ193">
        <v>3.2444344188341697E-5</v>
      </c>
      <c r="AK193">
        <v>1.94137306571079E-4</v>
      </c>
      <c r="AL193">
        <v>7.7597369641287599E-5</v>
      </c>
      <c r="AM193">
        <v>3.9991344015485501E-4</v>
      </c>
      <c r="AN193">
        <v>1.6218474413464001E-4</v>
      </c>
      <c r="AO193">
        <v>0</v>
      </c>
      <c r="AP193">
        <v>7.9631518976265293E-5</v>
      </c>
      <c r="AQ193">
        <v>0</v>
      </c>
      <c r="AR193">
        <v>6.3366978595633797E-5</v>
      </c>
      <c r="AS193">
        <v>0</v>
      </c>
      <c r="AT193">
        <v>6.7778507292193306E-5</v>
      </c>
      <c r="AU193">
        <v>0</v>
      </c>
      <c r="AV193">
        <v>8.2226158300173296E-4</v>
      </c>
      <c r="AW193">
        <v>0</v>
      </c>
      <c r="AX193">
        <v>7.9209450414709497E-4</v>
      </c>
      <c r="AY193">
        <v>0</v>
      </c>
      <c r="AZ193">
        <v>5.8557698599846601E-4</v>
      </c>
      <c r="BA193">
        <v>7.1781908343602997E-4</v>
      </c>
      <c r="BB193">
        <v>3.9555328900488002E-4</v>
      </c>
      <c r="BC193">
        <v>4.3797165056696401E-4</v>
      </c>
      <c r="BD193">
        <v>0</v>
      </c>
      <c r="BE193">
        <v>0</v>
      </c>
      <c r="BF193">
        <v>1.6726034952591699E-4</v>
      </c>
      <c r="BG193">
        <v>0</v>
      </c>
      <c r="BH193">
        <v>7.4471997034153696E-4</v>
      </c>
      <c r="BI193">
        <v>2.2226905343501399E-4</v>
      </c>
      <c r="BJ193">
        <v>0</v>
      </c>
      <c r="BK193">
        <v>0</v>
      </c>
      <c r="BL193">
        <v>0</v>
      </c>
      <c r="BM193">
        <v>2.43058604438379E-4</v>
      </c>
      <c r="BN193">
        <v>0</v>
      </c>
      <c r="BO193">
        <v>3.4668495891418199E-4</v>
      </c>
      <c r="BP193">
        <v>0</v>
      </c>
      <c r="BQ193">
        <v>3.8982976850110499E-4</v>
      </c>
      <c r="BR193">
        <v>8.8637398282470604E-4</v>
      </c>
      <c r="BS193">
        <v>4.4131226746326699E-4</v>
      </c>
      <c r="BT193">
        <v>3.4121098149178899E-4</v>
      </c>
      <c r="BU193">
        <v>1.40587270761872E-4</v>
      </c>
      <c r="BV193">
        <v>6.3423031991339E-5</v>
      </c>
      <c r="BW193">
        <v>5.6497860244051604E-4</v>
      </c>
      <c r="BX193">
        <v>2.3787291793553301E-4</v>
      </c>
      <c r="BY193">
        <v>0</v>
      </c>
      <c r="BZ193">
        <v>1.8197343790472901E-4</v>
      </c>
      <c r="CA193">
        <v>2.4726690905557599E-4</v>
      </c>
      <c r="CB193">
        <v>5.1272913946285204E-4</v>
      </c>
      <c r="CC193">
        <v>3.6953961328959099E-4</v>
      </c>
      <c r="CD193">
        <v>8.3464731379680003E-5</v>
      </c>
      <c r="CE193">
        <v>0</v>
      </c>
      <c r="CF193">
        <v>0</v>
      </c>
      <c r="CG193">
        <v>0</v>
      </c>
      <c r="CH193">
        <v>4.08324087310414E-4</v>
      </c>
      <c r="CI193">
        <v>2.2990372078931801E-4</v>
      </c>
      <c r="CJ193">
        <f>MAX(E193:CI193)</f>
        <v>8.8637398282470604E-4</v>
      </c>
    </row>
    <row r="194" spans="1:88" x14ac:dyDescent="0.2">
      <c r="A194" t="s">
        <v>339</v>
      </c>
      <c r="B194" t="s">
        <v>340</v>
      </c>
      <c r="C194" t="s">
        <v>338</v>
      </c>
      <c r="D194" t="s">
        <v>148</v>
      </c>
      <c r="E194">
        <v>2.28078317191679E-4</v>
      </c>
      <c r="F194">
        <v>2.6553758430638598E-4</v>
      </c>
      <c r="G194">
        <v>5.5535923743879698E-4</v>
      </c>
      <c r="H194">
        <v>0</v>
      </c>
      <c r="I194">
        <v>6.8206851106773197E-5</v>
      </c>
      <c r="J194">
        <v>9.2985236500097099E-5</v>
      </c>
      <c r="K194">
        <v>0</v>
      </c>
      <c r="L194">
        <v>1.12063710981675E-4</v>
      </c>
      <c r="M194">
        <v>1.18275556464448E-4</v>
      </c>
      <c r="N194">
        <v>7.8914716380277294E-5</v>
      </c>
      <c r="O194">
        <v>1.2171020670410601E-4</v>
      </c>
      <c r="P194">
        <v>2.6190150857159303E-4</v>
      </c>
      <c r="Q194">
        <v>5.6834625153659903E-5</v>
      </c>
      <c r="R194">
        <v>2.335952459938E-4</v>
      </c>
      <c r="S194">
        <v>0</v>
      </c>
      <c r="T194">
        <v>1.1492830456764801E-4</v>
      </c>
      <c r="U194">
        <v>2.8364360731745401E-4</v>
      </c>
      <c r="V194">
        <v>0</v>
      </c>
      <c r="W194">
        <v>0</v>
      </c>
      <c r="X194">
        <v>0</v>
      </c>
      <c r="Y194">
        <v>2.0952459024305801E-4</v>
      </c>
      <c r="Z194">
        <v>0</v>
      </c>
      <c r="AA194">
        <v>2.71296380711471E-4</v>
      </c>
      <c r="AB194">
        <v>8.2267822051857199E-5</v>
      </c>
      <c r="AC194">
        <v>6.9707097542400203E-4</v>
      </c>
      <c r="AD194">
        <v>5.2674812696649304E-4</v>
      </c>
      <c r="AE194">
        <v>5.5380388748967296E-4</v>
      </c>
      <c r="AF194">
        <v>9.28130404713984E-4</v>
      </c>
      <c r="AG194">
        <v>2.9040427148115599E-4</v>
      </c>
      <c r="AH194">
        <v>0</v>
      </c>
      <c r="AI194">
        <v>4.9849063068540904E-4</v>
      </c>
      <c r="AJ194">
        <v>1.30193409369213E-4</v>
      </c>
      <c r="AK194">
        <v>2.15612035707431E-4</v>
      </c>
      <c r="AL194">
        <v>1.93806348901864E-4</v>
      </c>
      <c r="AM194">
        <v>1.6984274488812901E-4</v>
      </c>
      <c r="AN194">
        <v>4.4496412743152698E-4</v>
      </c>
      <c r="AO194">
        <v>6.4698319458762296E-5</v>
      </c>
      <c r="AP194">
        <v>9.7361666740452404E-5</v>
      </c>
      <c r="AQ194">
        <v>0</v>
      </c>
      <c r="AR194">
        <v>0</v>
      </c>
      <c r="AS194">
        <v>4.8482499315723502E-4</v>
      </c>
      <c r="AT194">
        <v>0</v>
      </c>
      <c r="AU194">
        <v>8.6302226466811302E-4</v>
      </c>
      <c r="AV194">
        <v>4.4513321323109799E-4</v>
      </c>
      <c r="AW194">
        <v>1.37360543327073E-3</v>
      </c>
      <c r="AX194">
        <v>4.8072643001185003E-4</v>
      </c>
      <c r="AY194">
        <v>3.2661264899221999E-4</v>
      </c>
      <c r="AZ194">
        <v>4.6642841505883801E-4</v>
      </c>
      <c r="BA194">
        <v>8.5896011846875204E-4</v>
      </c>
      <c r="BB194">
        <v>0</v>
      </c>
      <c r="BC194">
        <v>5.1107778040739905E-4</v>
      </c>
      <c r="BD194">
        <v>7.8904723081351898E-4</v>
      </c>
      <c r="BE194">
        <v>8.6150935946757896E-4</v>
      </c>
      <c r="BF194">
        <v>0</v>
      </c>
      <c r="BG194">
        <v>1.08990840066977E-4</v>
      </c>
      <c r="BH194">
        <v>1.4051315976140899E-3</v>
      </c>
      <c r="BI194">
        <v>3.07020942100532E-4</v>
      </c>
      <c r="BJ194">
        <v>3.8041006578225001E-4</v>
      </c>
      <c r="BK194">
        <v>2.3152292469487E-4</v>
      </c>
      <c r="BL194">
        <v>4.77869156058494E-4</v>
      </c>
      <c r="BM194">
        <v>2.98563009668547E-4</v>
      </c>
      <c r="BN194">
        <v>2.8241190478153099E-4</v>
      </c>
      <c r="BO194">
        <v>0</v>
      </c>
      <c r="BP194">
        <v>6.3472850139377197E-4</v>
      </c>
      <c r="BQ194">
        <v>0</v>
      </c>
      <c r="BR194">
        <v>1.93478182923386E-3</v>
      </c>
      <c r="BS194">
        <v>0</v>
      </c>
      <c r="BT194">
        <v>2.73802242008919E-4</v>
      </c>
      <c r="BU194">
        <v>3.2326151204634102E-4</v>
      </c>
      <c r="BV194">
        <v>6.0653797920933499E-5</v>
      </c>
      <c r="BW194">
        <v>5.0487748061177698E-4</v>
      </c>
      <c r="BX194">
        <v>3.9268923871923101E-4</v>
      </c>
      <c r="BY194">
        <v>3.1210807135485498E-4</v>
      </c>
      <c r="BZ194">
        <v>4.2860082236880203E-4</v>
      </c>
      <c r="CA194">
        <v>4.63787457971882E-4</v>
      </c>
      <c r="CB194">
        <v>9.4704801905959595E-4</v>
      </c>
      <c r="CC194">
        <v>4.6442864683969901E-4</v>
      </c>
      <c r="CD194">
        <v>2.5319026305997499E-4</v>
      </c>
      <c r="CE194">
        <v>0</v>
      </c>
      <c r="CF194">
        <v>5.2781168420688298E-4</v>
      </c>
      <c r="CG194">
        <v>5.7378871169787402E-4</v>
      </c>
      <c r="CH194">
        <v>4.3882564515880198E-4</v>
      </c>
      <c r="CI194">
        <v>0</v>
      </c>
      <c r="CJ194">
        <f>MAX(E194:CI194)</f>
        <v>1.93478182923386E-3</v>
      </c>
    </row>
    <row r="195" spans="1:88" x14ac:dyDescent="0.2">
      <c r="A195" t="s">
        <v>341</v>
      </c>
      <c r="B195" t="s">
        <v>341</v>
      </c>
      <c r="C195" t="s">
        <v>338</v>
      </c>
      <c r="D195" t="s">
        <v>148</v>
      </c>
      <c r="E195">
        <v>0</v>
      </c>
      <c r="F195">
        <v>0</v>
      </c>
      <c r="G195">
        <v>6.6990157676087404E-6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f>MAX(E195:CI195)</f>
        <v>6.6990157676087404E-6</v>
      </c>
    </row>
    <row r="196" spans="1:88" x14ac:dyDescent="0.2">
      <c r="A196" t="s">
        <v>342</v>
      </c>
      <c r="B196" t="s">
        <v>342</v>
      </c>
      <c r="C196" t="s">
        <v>338</v>
      </c>
      <c r="D196" t="s">
        <v>148</v>
      </c>
      <c r="E196">
        <v>1.26513537674482E-5</v>
      </c>
      <c r="F196">
        <v>7.6421753786846695E-5</v>
      </c>
      <c r="G196">
        <v>0</v>
      </c>
      <c r="H196">
        <v>3.7376359644119799E-5</v>
      </c>
      <c r="I196">
        <v>0</v>
      </c>
      <c r="J196">
        <v>0</v>
      </c>
      <c r="K196">
        <v>1.0048147463241E-4</v>
      </c>
      <c r="L196">
        <v>2.1607324786579601E-5</v>
      </c>
      <c r="M196">
        <v>0</v>
      </c>
      <c r="N196">
        <v>0</v>
      </c>
      <c r="O196">
        <v>0</v>
      </c>
      <c r="P196">
        <v>0</v>
      </c>
      <c r="Q196">
        <v>1.2237226542000901E-5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2.2286763269134799E-5</v>
      </c>
      <c r="X196">
        <v>4.0247508428304702E-5</v>
      </c>
      <c r="Y196">
        <v>0</v>
      </c>
      <c r="Z196">
        <v>0</v>
      </c>
      <c r="AA196">
        <v>0</v>
      </c>
      <c r="AB196">
        <v>4.9597067620428401E-5</v>
      </c>
      <c r="AC196">
        <v>3.8106055881123301E-5</v>
      </c>
      <c r="AD196">
        <v>0</v>
      </c>
      <c r="AE196">
        <v>2.7302473861649799E-5</v>
      </c>
      <c r="AF196">
        <v>0</v>
      </c>
      <c r="AG196">
        <v>7.0636959958104197E-5</v>
      </c>
      <c r="AH196">
        <v>0</v>
      </c>
      <c r="AI196">
        <v>2.95784219456716E-5</v>
      </c>
      <c r="AJ196">
        <v>6.7282636322535798E-5</v>
      </c>
      <c r="AK196">
        <v>1.30813932041055E-5</v>
      </c>
      <c r="AL196">
        <v>0</v>
      </c>
      <c r="AM196">
        <v>0</v>
      </c>
      <c r="AN196">
        <v>4.3737403773264903E-5</v>
      </c>
      <c r="AO196">
        <v>2.4629919930963699E-5</v>
      </c>
      <c r="AP196">
        <v>2.8388928434402099E-5</v>
      </c>
      <c r="AQ196">
        <v>0</v>
      </c>
      <c r="AR196">
        <v>0</v>
      </c>
      <c r="AS196">
        <v>0</v>
      </c>
      <c r="AT196">
        <v>7.0754163364683998E-5</v>
      </c>
      <c r="AU196">
        <v>0</v>
      </c>
      <c r="AV196">
        <v>3.4404242488040299E-5</v>
      </c>
      <c r="AW196">
        <v>1.16481243950275E-4</v>
      </c>
      <c r="AX196">
        <v>2.37531931366895E-5</v>
      </c>
      <c r="AY196">
        <v>5.2284143745899301E-5</v>
      </c>
      <c r="AZ196">
        <v>3.2900007730805701E-5</v>
      </c>
      <c r="BA196">
        <v>7.8977976053513606E-5</v>
      </c>
      <c r="BB196">
        <v>3.9613389118195397E-5</v>
      </c>
      <c r="BC196">
        <v>4.2632814057371203E-5</v>
      </c>
      <c r="BD196">
        <v>1.5912961058750901E-4</v>
      </c>
      <c r="BE196">
        <v>1.5415620132029001E-5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1.6958404888422902E-5</v>
      </c>
      <c r="BL196">
        <v>9.2325357927133293E-5</v>
      </c>
      <c r="BM196">
        <v>2.93971345399948E-5</v>
      </c>
      <c r="BN196">
        <v>0</v>
      </c>
      <c r="BO196">
        <v>2.1975157680869501E-4</v>
      </c>
      <c r="BP196">
        <v>6.1004237051872402E-5</v>
      </c>
      <c r="BQ196">
        <v>0</v>
      </c>
      <c r="BR196">
        <v>1.62677316598649E-4</v>
      </c>
      <c r="BS196">
        <v>0</v>
      </c>
      <c r="BT196">
        <v>4.4225321628665301E-5</v>
      </c>
      <c r="BU196">
        <v>0</v>
      </c>
      <c r="BV196">
        <v>0</v>
      </c>
      <c r="BW196">
        <v>1.6428125049231301E-5</v>
      </c>
      <c r="BX196">
        <v>0</v>
      </c>
      <c r="BY196">
        <v>4.3783653683529998E-5</v>
      </c>
      <c r="BZ196">
        <v>6.8634108985092293E-5</v>
      </c>
      <c r="CA196">
        <v>2.3925939487463701E-5</v>
      </c>
      <c r="CB196">
        <v>0</v>
      </c>
      <c r="CC196">
        <v>1.08211396058323E-4</v>
      </c>
      <c r="CD196">
        <v>0</v>
      </c>
      <c r="CE196">
        <v>0</v>
      </c>
      <c r="CF196">
        <v>1.26729289491016E-4</v>
      </c>
      <c r="CG196">
        <v>3.5949429273943599E-5</v>
      </c>
      <c r="CH196">
        <v>0</v>
      </c>
      <c r="CI196">
        <v>4.0727429445642897E-5</v>
      </c>
      <c r="CJ196">
        <f>MAX(E196:CI196)</f>
        <v>2.1975157680869501E-4</v>
      </c>
    </row>
    <row r="197" spans="1:88" x14ac:dyDescent="0.2">
      <c r="A197" t="s">
        <v>343</v>
      </c>
      <c r="B197" t="s">
        <v>343</v>
      </c>
      <c r="C197" t="s">
        <v>338</v>
      </c>
      <c r="D197" t="s">
        <v>148</v>
      </c>
      <c r="E197">
        <v>0</v>
      </c>
      <c r="F197">
        <v>6.5228290995327396E-5</v>
      </c>
      <c r="G197">
        <v>0</v>
      </c>
      <c r="H197">
        <v>0</v>
      </c>
      <c r="I197">
        <v>6.5259388499750795E-5</v>
      </c>
      <c r="J197">
        <v>4.6033818387010298E-5</v>
      </c>
      <c r="K197">
        <v>4.8715481562854198E-4</v>
      </c>
      <c r="L197">
        <v>0</v>
      </c>
      <c r="M197">
        <v>2.79017215317331E-5</v>
      </c>
      <c r="N197">
        <v>2.06286591490672E-5</v>
      </c>
      <c r="O197">
        <v>0</v>
      </c>
      <c r="P197">
        <v>0</v>
      </c>
      <c r="Q197">
        <v>4.3382941978536601E-5</v>
      </c>
      <c r="R197">
        <v>6.0629920671192101E-5</v>
      </c>
      <c r="S197">
        <v>6.0977273262813598E-5</v>
      </c>
      <c r="T197">
        <v>3.3180505641363697E-5</v>
      </c>
      <c r="U197">
        <v>1.6225421962748199E-4</v>
      </c>
      <c r="V197">
        <v>6.3092247745219805E-5</v>
      </c>
      <c r="W197">
        <v>2.1912402666618701E-4</v>
      </c>
      <c r="X197">
        <v>0</v>
      </c>
      <c r="Y197">
        <v>1.2163204259191E-4</v>
      </c>
      <c r="Z197">
        <v>4.8616422770595702E-5</v>
      </c>
      <c r="AA197">
        <v>3.2191558290280798E-4</v>
      </c>
      <c r="AB197">
        <v>0</v>
      </c>
      <c r="AC197">
        <v>6.3918562599152599E-4</v>
      </c>
      <c r="AD197">
        <v>5.4249907247943501E-5</v>
      </c>
      <c r="AE197">
        <v>5.2869840474570502E-4</v>
      </c>
      <c r="AF197">
        <v>0</v>
      </c>
      <c r="AG197">
        <v>2.8034963822309302E-4</v>
      </c>
      <c r="AH197">
        <v>2.7304548527358299E-5</v>
      </c>
      <c r="AI197">
        <v>2.8377295328169599E-4</v>
      </c>
      <c r="AJ197">
        <v>0</v>
      </c>
      <c r="AK197">
        <v>1.4026618981740201E-4</v>
      </c>
      <c r="AL197">
        <v>5.800788084122E-5</v>
      </c>
      <c r="AM197">
        <v>3.88703096198635E-4</v>
      </c>
      <c r="AN197">
        <v>0</v>
      </c>
      <c r="AO197">
        <v>2.1893187675931899E-4</v>
      </c>
      <c r="AP197">
        <v>0</v>
      </c>
      <c r="AQ197">
        <v>1.07852197915969E-3</v>
      </c>
      <c r="AR197">
        <v>0</v>
      </c>
      <c r="AS197">
        <v>2.9347560054582001E-4</v>
      </c>
      <c r="AT197">
        <v>0</v>
      </c>
      <c r="AU197">
        <v>2.73775764264895E-4</v>
      </c>
      <c r="AV197">
        <v>4.4705298599160903E-4</v>
      </c>
      <c r="AW197">
        <v>6.5927559595595295E-4</v>
      </c>
      <c r="AX197">
        <v>6.7660468400481397E-4</v>
      </c>
      <c r="AY197">
        <v>0</v>
      </c>
      <c r="AZ197">
        <v>7.5339719685105103E-4</v>
      </c>
      <c r="BA197">
        <v>5.5519430165045804E-4</v>
      </c>
      <c r="BB197">
        <v>3.7032923668120699E-4</v>
      </c>
      <c r="BC197">
        <v>2.72462664869675E-4</v>
      </c>
      <c r="BD197">
        <v>0</v>
      </c>
      <c r="BE197">
        <v>0</v>
      </c>
      <c r="BF197">
        <v>2.00997196526601E-4</v>
      </c>
      <c r="BG197">
        <v>0</v>
      </c>
      <c r="BH197">
        <v>7.3173697384707099E-4</v>
      </c>
      <c r="BI197">
        <v>3.3581415634488201E-4</v>
      </c>
      <c r="BJ197">
        <v>2.93493846431646E-4</v>
      </c>
      <c r="BK197">
        <v>0</v>
      </c>
      <c r="BL197">
        <v>3.2360557878012602E-4</v>
      </c>
      <c r="BM197">
        <v>0</v>
      </c>
      <c r="BN197">
        <v>3.2299366170639399E-4</v>
      </c>
      <c r="BO197">
        <v>0</v>
      </c>
      <c r="BP197">
        <v>2.2724011479602899E-4</v>
      </c>
      <c r="BQ197">
        <v>1.56591072995611E-4</v>
      </c>
      <c r="BR197">
        <v>9.1123207850402597E-4</v>
      </c>
      <c r="BS197">
        <v>2.8446379525161498E-4</v>
      </c>
      <c r="BT197">
        <v>0</v>
      </c>
      <c r="BU197">
        <v>1.5978941250846499E-4</v>
      </c>
      <c r="BV197">
        <v>0</v>
      </c>
      <c r="BW197">
        <v>2.1947850838930201E-4</v>
      </c>
      <c r="BX197">
        <v>1.5324277224315901E-4</v>
      </c>
      <c r="BY197">
        <v>0</v>
      </c>
      <c r="BZ197">
        <v>1.8567609765543901E-4</v>
      </c>
      <c r="CA197">
        <v>2.2517439263977201E-4</v>
      </c>
      <c r="CB197">
        <v>1.5026263488151199E-4</v>
      </c>
      <c r="CC197">
        <v>4.2831373361122802E-4</v>
      </c>
      <c r="CD197">
        <v>1.11309184261539E-4</v>
      </c>
      <c r="CE197">
        <v>0</v>
      </c>
      <c r="CF197">
        <v>3.2179997053672802E-4</v>
      </c>
      <c r="CG197">
        <v>0</v>
      </c>
      <c r="CH197">
        <v>0</v>
      </c>
      <c r="CI197">
        <v>1.5743815802011599E-4</v>
      </c>
      <c r="CJ197">
        <f>MAX(E197:CI197)</f>
        <v>1.07852197915969E-3</v>
      </c>
    </row>
    <row r="198" spans="1:88" x14ac:dyDescent="0.2">
      <c r="A198" t="s">
        <v>344</v>
      </c>
      <c r="B198" t="s">
        <v>344</v>
      </c>
      <c r="C198" t="s">
        <v>338</v>
      </c>
      <c r="D198" t="s">
        <v>148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7.45243162272017E-6</v>
      </c>
      <c r="S198">
        <v>0</v>
      </c>
      <c r="T198">
        <v>0</v>
      </c>
      <c r="U198">
        <v>0</v>
      </c>
      <c r="V198">
        <v>7.1342282518043699E-6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2.2414290690977399E-5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2.39934666109755E-5</v>
      </c>
      <c r="BO198">
        <v>0</v>
      </c>
      <c r="BP198">
        <v>0</v>
      </c>
      <c r="BQ198">
        <v>1.99583668028061E-5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9.7073793155659502E-6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f>MAX(E198:CI198)</f>
        <v>2.39934666109755E-5</v>
      </c>
    </row>
    <row r="199" spans="1:88" x14ac:dyDescent="0.2">
      <c r="A199" t="s">
        <v>345</v>
      </c>
      <c r="B199" t="s">
        <v>345</v>
      </c>
      <c r="C199" t="s">
        <v>338</v>
      </c>
      <c r="D199" t="s">
        <v>148</v>
      </c>
      <c r="E199">
        <v>1.66507959994951E-5</v>
      </c>
      <c r="F199">
        <v>0</v>
      </c>
      <c r="G199">
        <v>2.00960174884648E-5</v>
      </c>
      <c r="H199">
        <v>0</v>
      </c>
      <c r="I199">
        <v>0</v>
      </c>
      <c r="J199">
        <v>4.59188496852979E-5</v>
      </c>
      <c r="K199">
        <v>0</v>
      </c>
      <c r="L199">
        <v>0</v>
      </c>
      <c r="M199">
        <v>4.9172354054420598E-5</v>
      </c>
      <c r="N199">
        <v>0</v>
      </c>
      <c r="O199">
        <v>0</v>
      </c>
      <c r="P199">
        <v>0</v>
      </c>
      <c r="Q199">
        <v>3.3414425605890397E-5</v>
      </c>
      <c r="R199">
        <v>0</v>
      </c>
      <c r="S199">
        <v>3.66279826670781E-5</v>
      </c>
      <c r="T199">
        <v>0</v>
      </c>
      <c r="U199">
        <v>0</v>
      </c>
      <c r="V199">
        <v>0</v>
      </c>
      <c r="W199">
        <v>2.1944263019827101E-5</v>
      </c>
      <c r="X199">
        <v>0</v>
      </c>
      <c r="Y199">
        <v>0</v>
      </c>
      <c r="Z199">
        <v>2.5702004778736999E-5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7.7623103042001999E-5</v>
      </c>
      <c r="AU199">
        <v>5.6886471945649699E-5</v>
      </c>
      <c r="AV199">
        <v>3.8330192468921599E-5</v>
      </c>
      <c r="AW199">
        <v>0</v>
      </c>
      <c r="AX199">
        <v>0</v>
      </c>
      <c r="AY199">
        <v>4.48579063579263E-5</v>
      </c>
      <c r="AZ199">
        <v>0</v>
      </c>
      <c r="BA199">
        <v>0</v>
      </c>
      <c r="BB199">
        <v>0</v>
      </c>
      <c r="BC199">
        <v>3.4141924686521598E-5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3.6122183957252403E-5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4.6806266389341703E-5</v>
      </c>
      <c r="BY199">
        <v>0</v>
      </c>
      <c r="BZ199">
        <v>0</v>
      </c>
      <c r="CA199">
        <v>3.6026245153078397E-5</v>
      </c>
      <c r="CB199">
        <v>0</v>
      </c>
      <c r="CC199">
        <v>0</v>
      </c>
      <c r="CD199">
        <v>0</v>
      </c>
      <c r="CE199">
        <v>4.5631421707039498E-5</v>
      </c>
      <c r="CF199">
        <v>3.8712837091983598E-5</v>
      </c>
      <c r="CG199">
        <v>0</v>
      </c>
      <c r="CH199">
        <v>1.3535178887770499E-4</v>
      </c>
      <c r="CI199">
        <v>7.9180638589059505E-5</v>
      </c>
      <c r="CJ199">
        <f>MAX(E199:CI199)</f>
        <v>1.3535178887770499E-4</v>
      </c>
    </row>
    <row r="200" spans="1:88" x14ac:dyDescent="0.2">
      <c r="A200" t="s">
        <v>346</v>
      </c>
      <c r="B200" t="s">
        <v>346</v>
      </c>
      <c r="C200" t="s">
        <v>338</v>
      </c>
      <c r="D200" t="s">
        <v>148</v>
      </c>
      <c r="E200">
        <v>0</v>
      </c>
      <c r="F200">
        <v>0</v>
      </c>
      <c r="G200">
        <v>2.0106292673890399E-5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1.1753710781160401E-5</v>
      </c>
      <c r="Q200">
        <v>0</v>
      </c>
      <c r="R200">
        <v>0</v>
      </c>
      <c r="S200">
        <v>0</v>
      </c>
      <c r="T200">
        <v>0</v>
      </c>
      <c r="U200">
        <v>1.58770934142583E-5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2.7883995244670199E-5</v>
      </c>
      <c r="AB200">
        <v>0</v>
      </c>
      <c r="AC200">
        <v>3.04962893794216E-5</v>
      </c>
      <c r="AD200">
        <v>1.81467977939693E-5</v>
      </c>
      <c r="AE200">
        <v>1.0811824810769399E-5</v>
      </c>
      <c r="AF200">
        <v>2.2366189490430998E-5</v>
      </c>
      <c r="AG200">
        <v>0</v>
      </c>
      <c r="AH200">
        <v>0</v>
      </c>
      <c r="AI200">
        <v>0</v>
      </c>
      <c r="AJ200">
        <v>0</v>
      </c>
      <c r="AK200">
        <v>8.4088189151362503E-6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2.0307852482407799E-5</v>
      </c>
      <c r="AW200">
        <v>9.7600040976193102E-5</v>
      </c>
      <c r="AX200">
        <v>2.86739154292739E-5</v>
      </c>
      <c r="AY200">
        <v>1.01780364065687E-5</v>
      </c>
      <c r="AZ200">
        <v>0</v>
      </c>
      <c r="BA200">
        <v>8.7540495400427202E-5</v>
      </c>
      <c r="BB200">
        <v>0</v>
      </c>
      <c r="BC200">
        <v>2.2188145238092201E-5</v>
      </c>
      <c r="BD200">
        <v>3.2042544785731198E-5</v>
      </c>
      <c r="BE200">
        <v>3.9473260436660003E-5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9.3492979413203898E-6</v>
      </c>
      <c r="BL200">
        <v>0</v>
      </c>
      <c r="BM200">
        <v>0</v>
      </c>
      <c r="BN200">
        <v>3.6647976476128902E-5</v>
      </c>
      <c r="BO200">
        <v>3.2733843369723403E-5</v>
      </c>
      <c r="BP200">
        <v>0</v>
      </c>
      <c r="BQ200">
        <v>8.7403937941539096E-5</v>
      </c>
      <c r="BR200">
        <v>0</v>
      </c>
      <c r="BS200">
        <v>0</v>
      </c>
      <c r="BT200">
        <v>5.2361852141646297E-5</v>
      </c>
      <c r="BU200">
        <v>3.6128672143259403E-5</v>
      </c>
      <c r="BV200">
        <v>0</v>
      </c>
      <c r="BW200">
        <v>0</v>
      </c>
      <c r="BX200">
        <v>2.6166160441316299E-5</v>
      </c>
      <c r="BY200">
        <v>0</v>
      </c>
      <c r="BZ200">
        <v>0</v>
      </c>
      <c r="CA200">
        <v>0</v>
      </c>
      <c r="CB200">
        <v>5.0170103850005597E-5</v>
      </c>
      <c r="CC200">
        <v>3.1632826548810703E-5</v>
      </c>
      <c r="CD200">
        <v>1.5484457699835599E-5</v>
      </c>
      <c r="CE200">
        <v>0</v>
      </c>
      <c r="CF200">
        <v>0</v>
      </c>
      <c r="CG200">
        <v>0</v>
      </c>
      <c r="CH200">
        <v>0</v>
      </c>
      <c r="CI200">
        <v>2.5251315024515201E-5</v>
      </c>
      <c r="CJ200">
        <f>MAX(E200:CI200)</f>
        <v>9.7600040976193102E-5</v>
      </c>
    </row>
    <row r="201" spans="1:88" x14ac:dyDescent="0.2">
      <c r="A201" t="s">
        <v>348</v>
      </c>
      <c r="B201" t="s">
        <v>348</v>
      </c>
      <c r="C201" t="s">
        <v>338</v>
      </c>
      <c r="D201" t="s">
        <v>148</v>
      </c>
      <c r="E201">
        <v>2.0988432260954301E-5</v>
      </c>
      <c r="F201">
        <v>3.1642661109369302E-5</v>
      </c>
      <c r="G201">
        <v>3.70948825197783E-4</v>
      </c>
      <c r="H201">
        <v>1.05608773762404E-3</v>
      </c>
      <c r="I201">
        <v>1.0731168149584899E-5</v>
      </c>
      <c r="J201">
        <v>2.0163735876154601E-5</v>
      </c>
      <c r="K201">
        <v>1.3670487433390801E-4</v>
      </c>
      <c r="L201">
        <v>0</v>
      </c>
      <c r="M201">
        <v>1.8523199319841301E-5</v>
      </c>
      <c r="N201">
        <v>5.4748345589307298E-5</v>
      </c>
      <c r="O201">
        <v>2.7893049657735401E-5</v>
      </c>
      <c r="P201">
        <v>2.2049868307780398E-5</v>
      </c>
      <c r="Q201">
        <v>2.0935290905941899E-5</v>
      </c>
      <c r="R201">
        <v>4.60812233411752E-5</v>
      </c>
      <c r="S201">
        <v>1.20622409639866E-5</v>
      </c>
      <c r="T201">
        <v>1.2792133997700801E-5</v>
      </c>
      <c r="U201">
        <v>4.2581014071894702E-5</v>
      </c>
      <c r="V201">
        <v>2.12299025176494E-5</v>
      </c>
      <c r="W201">
        <v>1.1343184602953401E-3</v>
      </c>
      <c r="X201">
        <v>0</v>
      </c>
      <c r="Y201">
        <v>2.3476751337811498E-3</v>
      </c>
      <c r="Z201">
        <v>1.32435678232782E-4</v>
      </c>
      <c r="AA201">
        <v>3.1429972425674798E-4</v>
      </c>
      <c r="AB201">
        <v>1.8353419867977099E-5</v>
      </c>
      <c r="AC201">
        <v>2.13749447088336E-4</v>
      </c>
      <c r="AD201">
        <v>1.41074656016648E-4</v>
      </c>
      <c r="AE201">
        <v>1.18349111000391E-4</v>
      </c>
      <c r="AF201">
        <v>2.6399578931087599E-4</v>
      </c>
      <c r="AG201">
        <v>3.9559792048287497E-5</v>
      </c>
      <c r="AH201">
        <v>3.2175625616905899E-5</v>
      </c>
      <c r="AI201">
        <v>1.72781006671577E-4</v>
      </c>
      <c r="AJ201">
        <v>7.3208245714272206E-5</v>
      </c>
      <c r="AK201">
        <v>3.86145519478182E-5</v>
      </c>
      <c r="AL201">
        <v>9.8932503706070703E-5</v>
      </c>
      <c r="AM201">
        <v>4.9756978513087997E-5</v>
      </c>
      <c r="AN201">
        <v>1.2400837027114E-4</v>
      </c>
      <c r="AO201">
        <v>0</v>
      </c>
      <c r="AP201">
        <v>6.4897504915307602E-5</v>
      </c>
      <c r="AQ201">
        <v>0</v>
      </c>
      <c r="AR201">
        <v>0</v>
      </c>
      <c r="AS201">
        <v>4.3123599104638302E-5</v>
      </c>
      <c r="AT201">
        <v>1.89170756236261E-5</v>
      </c>
      <c r="AU201">
        <v>0</v>
      </c>
      <c r="AV201">
        <v>3.02004211980058E-4</v>
      </c>
      <c r="AW201">
        <v>8.3452432468558203E-4</v>
      </c>
      <c r="AX201">
        <v>2.4668514628857599E-4</v>
      </c>
      <c r="AY201">
        <v>0</v>
      </c>
      <c r="AZ201">
        <v>4.6558823763109299E-4</v>
      </c>
      <c r="BA201">
        <v>3.7672548442186098E-4</v>
      </c>
      <c r="BB201">
        <v>0</v>
      </c>
      <c r="BC201">
        <v>7.4047943233889504E-5</v>
      </c>
      <c r="BD201">
        <v>4.2503627815153002E-4</v>
      </c>
      <c r="BE201">
        <v>2.1279626453292599E-4</v>
      </c>
      <c r="BF201">
        <v>3.0244123304427599E-5</v>
      </c>
      <c r="BG201">
        <v>1.03045018132939E-4</v>
      </c>
      <c r="BH201">
        <v>3.4423180966970999E-4</v>
      </c>
      <c r="BI201">
        <v>2.59019225233503E-4</v>
      </c>
      <c r="BJ201">
        <v>0</v>
      </c>
      <c r="BK201">
        <v>8.1812186555687899E-5</v>
      </c>
      <c r="BL201">
        <v>1.9104822188582799E-4</v>
      </c>
      <c r="BM201">
        <v>2.1712358442204102E-5</v>
      </c>
      <c r="BN201">
        <v>0</v>
      </c>
      <c r="BO201">
        <v>0</v>
      </c>
      <c r="BP201">
        <v>3.4012378234405202E-4</v>
      </c>
      <c r="BQ201">
        <v>0</v>
      </c>
      <c r="BR201">
        <v>1.7804672924307999E-4</v>
      </c>
      <c r="BS201">
        <v>0</v>
      </c>
      <c r="BT201">
        <v>4.5268072211349499E-4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1.7535897568880801E-4</v>
      </c>
      <c r="CA201">
        <v>1.9296209249205999E-4</v>
      </c>
      <c r="CB201">
        <v>4.19900121207012E-4</v>
      </c>
      <c r="CC201">
        <v>2.36054345650557E-4</v>
      </c>
      <c r="CD201">
        <v>0</v>
      </c>
      <c r="CE201">
        <v>1.13055839706184E-4</v>
      </c>
      <c r="CF201">
        <v>2.2066273666119699E-4</v>
      </c>
      <c r="CG201">
        <v>3.69516639800797E-4</v>
      </c>
      <c r="CH201">
        <v>1.0220990861764701E-4</v>
      </c>
      <c r="CI201">
        <v>1.15918566014309E-4</v>
      </c>
      <c r="CJ201">
        <f>MAX(E201:CI201)</f>
        <v>2.3476751337811498E-3</v>
      </c>
    </row>
    <row r="202" spans="1:88" x14ac:dyDescent="0.2">
      <c r="A202" t="s">
        <v>349</v>
      </c>
      <c r="B202" t="s">
        <v>349</v>
      </c>
      <c r="C202" t="s">
        <v>338</v>
      </c>
      <c r="D202" t="s">
        <v>148</v>
      </c>
      <c r="E202">
        <v>0</v>
      </c>
      <c r="F202">
        <v>0</v>
      </c>
      <c r="G202">
        <v>4.3789803866325698E-6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1.02436327511818E-5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1.04721535134161E-5</v>
      </c>
      <c r="AX202">
        <v>0</v>
      </c>
      <c r="AY202">
        <v>0</v>
      </c>
      <c r="AZ202">
        <v>2.03255356678858E-5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8.9896337843356597E-6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1.66163258413543E-5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f>MAX(E202:CI202)</f>
        <v>2.03255356678858E-5</v>
      </c>
    </row>
    <row r="203" spans="1:88" x14ac:dyDescent="0.2">
      <c r="A203" t="s">
        <v>350</v>
      </c>
      <c r="B203" t="s">
        <v>350</v>
      </c>
      <c r="C203" t="s">
        <v>338</v>
      </c>
      <c r="D203" t="s">
        <v>148</v>
      </c>
      <c r="E203">
        <v>1.1006443283549499E-4</v>
      </c>
      <c r="F203">
        <v>1.15148424453404E-4</v>
      </c>
      <c r="G203">
        <v>0</v>
      </c>
      <c r="H203">
        <v>7.17592680133463E-5</v>
      </c>
      <c r="I203">
        <v>0</v>
      </c>
      <c r="J203">
        <v>4.50289686569135E-5</v>
      </c>
      <c r="K203">
        <v>4.0063787160115E-4</v>
      </c>
      <c r="L203">
        <v>5.0724526301384097E-5</v>
      </c>
      <c r="M203">
        <v>0</v>
      </c>
      <c r="N203">
        <v>4.7917924620116402E-5</v>
      </c>
      <c r="O203">
        <v>0</v>
      </c>
      <c r="P203">
        <v>6.7169327475311794E-5</v>
      </c>
      <c r="Q203">
        <v>1.38734029356583E-4</v>
      </c>
      <c r="R203">
        <v>1.05609016935871E-4</v>
      </c>
      <c r="S203">
        <v>3.3252094035667199E-5</v>
      </c>
      <c r="T203">
        <v>8.0788398680954501E-5</v>
      </c>
      <c r="U203">
        <v>9.1426059099151695E-5</v>
      </c>
      <c r="V203">
        <v>7.5259789625933005E-5</v>
      </c>
      <c r="W203">
        <v>1.3169946174312799E-4</v>
      </c>
      <c r="X203">
        <v>0</v>
      </c>
      <c r="Y203">
        <v>0</v>
      </c>
      <c r="Z203">
        <v>1.0291626107442099E-4</v>
      </c>
      <c r="AA203">
        <v>2.3343232733506199E-4</v>
      </c>
      <c r="AB203">
        <v>2.54005429504256E-5</v>
      </c>
      <c r="AC203">
        <v>0</v>
      </c>
      <c r="AD203">
        <v>1.57257729139295E-4</v>
      </c>
      <c r="AE203">
        <v>2.7567539149399301E-4</v>
      </c>
      <c r="AF203">
        <v>4.6906172892319302E-4</v>
      </c>
      <c r="AG203">
        <v>2.2484643183974401E-4</v>
      </c>
      <c r="AH203">
        <v>0</v>
      </c>
      <c r="AI203">
        <v>7.9579828705792605E-5</v>
      </c>
      <c r="AJ203">
        <v>5.1325832226536099E-5</v>
      </c>
      <c r="AK203">
        <v>1.3484970477694401E-4</v>
      </c>
      <c r="AL203">
        <v>0</v>
      </c>
      <c r="AM203">
        <v>1.4722141920953E-4</v>
      </c>
      <c r="AN203">
        <v>1.7486544603749699E-4</v>
      </c>
      <c r="AO203">
        <v>0</v>
      </c>
      <c r="AP203">
        <v>0</v>
      </c>
      <c r="AQ203">
        <v>7.8353427673116295E-4</v>
      </c>
      <c r="AR203">
        <v>0</v>
      </c>
      <c r="AS203">
        <v>7.0442052223879397E-5</v>
      </c>
      <c r="AT203">
        <v>0</v>
      </c>
      <c r="AU203">
        <v>0</v>
      </c>
      <c r="AV203">
        <v>3.09593618353187E-4</v>
      </c>
      <c r="AW203">
        <v>6.5164189806920104E-4</v>
      </c>
      <c r="AX203">
        <v>3.6394352738392102E-4</v>
      </c>
      <c r="AY203">
        <v>3.6121352222805099E-4</v>
      </c>
      <c r="AZ203">
        <v>4.0834383200786801E-4</v>
      </c>
      <c r="BA203">
        <v>7.4619786136495699E-4</v>
      </c>
      <c r="BB203">
        <v>3.2521906732886201E-4</v>
      </c>
      <c r="BC203">
        <v>3.31779081111618E-4</v>
      </c>
      <c r="BD203">
        <v>3.8414660557885202E-4</v>
      </c>
      <c r="BE203">
        <v>0</v>
      </c>
      <c r="BF203">
        <v>1.31097678138493E-4</v>
      </c>
      <c r="BG203">
        <v>4.1533736183759099E-5</v>
      </c>
      <c r="BH203">
        <v>8.57033898434324E-4</v>
      </c>
      <c r="BI203">
        <v>1.7468073072693499E-4</v>
      </c>
      <c r="BJ203">
        <v>2.5324798585926701E-4</v>
      </c>
      <c r="BK203">
        <v>0</v>
      </c>
      <c r="BL203">
        <v>0</v>
      </c>
      <c r="BM203">
        <v>1.30193409369213E-4</v>
      </c>
      <c r="BN203">
        <v>1.92842165632889E-4</v>
      </c>
      <c r="BO203">
        <v>0</v>
      </c>
      <c r="BP203">
        <v>2.6276771227723401E-4</v>
      </c>
      <c r="BQ203">
        <v>0</v>
      </c>
      <c r="BR203">
        <v>3.2599279385834098E-4</v>
      </c>
      <c r="BS203">
        <v>4.5254940684217497E-4</v>
      </c>
      <c r="BT203">
        <v>0</v>
      </c>
      <c r="BU203">
        <v>1.3276909653941299E-4</v>
      </c>
      <c r="BV203">
        <v>0</v>
      </c>
      <c r="BW203">
        <v>2.4109877290485999E-4</v>
      </c>
      <c r="BX203">
        <v>0</v>
      </c>
      <c r="BY203">
        <v>1.5488915126464099E-4</v>
      </c>
      <c r="BZ203">
        <v>0</v>
      </c>
      <c r="CA203">
        <v>0</v>
      </c>
      <c r="CB203">
        <v>3.2512248072394601E-4</v>
      </c>
      <c r="CC203">
        <v>1.8695410262719E-4</v>
      </c>
      <c r="CD203">
        <v>5.3921131871091698E-5</v>
      </c>
      <c r="CE203">
        <v>0</v>
      </c>
      <c r="CF203">
        <v>4.0218789952157401E-4</v>
      </c>
      <c r="CG203">
        <v>0</v>
      </c>
      <c r="CH203">
        <v>4.3300807956784198E-4</v>
      </c>
      <c r="CI203">
        <v>0</v>
      </c>
      <c r="CJ203">
        <f>MAX(E203:CI203)</f>
        <v>8.57033898434324E-4</v>
      </c>
    </row>
    <row r="204" spans="1:88" x14ac:dyDescent="0.2">
      <c r="A204" t="s">
        <v>351</v>
      </c>
      <c r="B204" t="s">
        <v>351</v>
      </c>
      <c r="C204" t="s">
        <v>187</v>
      </c>
      <c r="D204" t="s">
        <v>89</v>
      </c>
      <c r="E204">
        <v>2.83084440899326E-5</v>
      </c>
      <c r="F204">
        <v>3.8724337808553798E-5</v>
      </c>
      <c r="G204">
        <v>0</v>
      </c>
      <c r="H204">
        <v>0</v>
      </c>
      <c r="I204">
        <v>0</v>
      </c>
      <c r="J204">
        <v>6.97910930199936E-5</v>
      </c>
      <c r="K204">
        <v>0</v>
      </c>
      <c r="L204">
        <v>1.62571719787199E-4</v>
      </c>
      <c r="M204">
        <v>4.4008949295864799E-5</v>
      </c>
      <c r="N204">
        <v>1.5511292946002799E-4</v>
      </c>
      <c r="O204">
        <v>2.0280515971187199E-5</v>
      </c>
      <c r="P204">
        <v>1.22118089141204E-5</v>
      </c>
      <c r="Q204">
        <v>0</v>
      </c>
      <c r="R204">
        <v>0</v>
      </c>
      <c r="S204">
        <v>2.2648007490830001E-4</v>
      </c>
      <c r="T204">
        <v>0</v>
      </c>
      <c r="U204">
        <v>2.1232395730548E-5</v>
      </c>
      <c r="V204">
        <v>1.5406252094492001E-5</v>
      </c>
      <c r="W204">
        <v>0</v>
      </c>
      <c r="X204">
        <v>1.86779840413106E-4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8.4916287742592704E-5</v>
      </c>
      <c r="AE204">
        <v>1.6135261191816101E-5</v>
      </c>
      <c r="AF204">
        <v>0</v>
      </c>
      <c r="AG204">
        <v>0</v>
      </c>
      <c r="AH204">
        <v>0</v>
      </c>
      <c r="AI204">
        <v>7.2777645299468494E-5</v>
      </c>
      <c r="AJ204">
        <v>0</v>
      </c>
      <c r="AK204">
        <v>9.7291074534738801E-5</v>
      </c>
      <c r="AL204">
        <v>0</v>
      </c>
      <c r="AM204">
        <v>0</v>
      </c>
      <c r="AN204">
        <v>5.9586516941116698E-5</v>
      </c>
      <c r="AO204">
        <v>0</v>
      </c>
      <c r="AP204">
        <v>1.0732033014407801E-4</v>
      </c>
      <c r="AQ204">
        <v>0</v>
      </c>
      <c r="AR204">
        <v>0</v>
      </c>
      <c r="AS204">
        <v>0</v>
      </c>
      <c r="AT204">
        <v>3.0427060638219901E-5</v>
      </c>
      <c r="AU204">
        <v>2.3260711777410399E-5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5.3850036251702399E-5</v>
      </c>
      <c r="BC204">
        <v>0</v>
      </c>
      <c r="BD204">
        <v>6.8020998064839396E-5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1.5979640330705001E-5</v>
      </c>
      <c r="BP204">
        <v>8.4620190754146094E-6</v>
      </c>
      <c r="BQ204">
        <v>0</v>
      </c>
      <c r="BR204">
        <v>2.0727789998996101E-5</v>
      </c>
      <c r="BS204">
        <v>5.2823600530600398E-5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5.7884595130871501E-5</v>
      </c>
      <c r="CA204">
        <v>1.3053651081208799E-4</v>
      </c>
      <c r="CB204">
        <v>0</v>
      </c>
      <c r="CC204">
        <v>0</v>
      </c>
      <c r="CD204">
        <v>7.8076439483914893E-5</v>
      </c>
      <c r="CE204">
        <v>0</v>
      </c>
      <c r="CF204">
        <v>0</v>
      </c>
      <c r="CG204">
        <v>1.10651676914438E-5</v>
      </c>
      <c r="CH204">
        <v>0</v>
      </c>
      <c r="CI204">
        <v>0</v>
      </c>
      <c r="CJ204">
        <f>MAX(E204:CI204)</f>
        <v>2.2648007490830001E-4</v>
      </c>
    </row>
    <row r="205" spans="1:88" x14ac:dyDescent="0.2">
      <c r="A205" t="s">
        <v>352</v>
      </c>
      <c r="B205" t="s">
        <v>352</v>
      </c>
      <c r="C205" t="s">
        <v>187</v>
      </c>
      <c r="D205" t="s">
        <v>89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1.3265664212190001E-5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1.4203324193089299E-5</v>
      </c>
      <c r="AH205">
        <v>0</v>
      </c>
      <c r="AI205">
        <v>1.2493295145361E-5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1.1809948397302799E-5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2.4168795109467398E-5</v>
      </c>
      <c r="BQ205">
        <v>0</v>
      </c>
      <c r="BR205">
        <v>1.7026132154360002E-5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7.7307032000502207E-6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1.6314245749064398E-5</v>
      </c>
      <c r="CJ205">
        <f>MAX(E205:CI205)</f>
        <v>2.4168795109467398E-5</v>
      </c>
    </row>
    <row r="206" spans="1:88" x14ac:dyDescent="0.2">
      <c r="A206" t="s">
        <v>353</v>
      </c>
      <c r="B206" t="s">
        <v>354</v>
      </c>
      <c r="C206" t="s">
        <v>116</v>
      </c>
      <c r="D206" t="s">
        <v>89</v>
      </c>
      <c r="E206">
        <v>0</v>
      </c>
      <c r="F206">
        <v>0</v>
      </c>
      <c r="G206">
        <v>2.9631183636759399E-5</v>
      </c>
      <c r="H206">
        <v>2.9591228802113901E-4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3.1850114650562198E-5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6.8359676683810494E-5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1.2929180543524001E-4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f>MAX(E206:CI206)</f>
        <v>2.9591228802113901E-4</v>
      </c>
    </row>
    <row r="207" spans="1:88" x14ac:dyDescent="0.2">
      <c r="A207" t="s">
        <v>355</v>
      </c>
      <c r="B207" t="s">
        <v>355</v>
      </c>
      <c r="C207" t="s">
        <v>254</v>
      </c>
      <c r="D207" t="s">
        <v>255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1.1905948509619401E-5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1.8908583685841101E-5</v>
      </c>
      <c r="AG207">
        <v>0</v>
      </c>
      <c r="AH207">
        <v>1.5374464569916901E-5</v>
      </c>
      <c r="AI207">
        <v>1.53608765890331E-5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1.8376000753710399E-5</v>
      </c>
      <c r="AT207">
        <v>1.20847591690905E-5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3.8864492412492501E-5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f>MAX(E207:CI207)</f>
        <v>3.8864492412492501E-5</v>
      </c>
    </row>
    <row r="208" spans="1:88" x14ac:dyDescent="0.2">
      <c r="A208" t="s">
        <v>356</v>
      </c>
      <c r="B208" t="s">
        <v>357</v>
      </c>
      <c r="C208" t="s">
        <v>116</v>
      </c>
      <c r="D208" t="s">
        <v>89</v>
      </c>
      <c r="E208">
        <v>1.26171422653275E-5</v>
      </c>
      <c r="F208">
        <v>0</v>
      </c>
      <c r="G208">
        <v>8.8070811899973103E-6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8.8488533968638E-6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1.5601595003181099E-5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1.7670669328607501E-5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1.11901523671173E-5</v>
      </c>
      <c r="AW208">
        <v>0</v>
      </c>
      <c r="AX208">
        <v>3.0840754907972298E-5</v>
      </c>
      <c r="AY208">
        <v>0</v>
      </c>
      <c r="AZ208">
        <v>0</v>
      </c>
      <c r="BA208">
        <v>0</v>
      </c>
      <c r="BB208">
        <v>2.8696108120816798E-5</v>
      </c>
      <c r="BC208">
        <v>0</v>
      </c>
      <c r="BD208">
        <v>4.4857286627328501E-5</v>
      </c>
      <c r="BE208">
        <v>0</v>
      </c>
      <c r="BF208">
        <v>0</v>
      </c>
      <c r="BG208">
        <v>0</v>
      </c>
      <c r="BH208">
        <v>4.2229214184354597E-5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7.4064995366038898E-6</v>
      </c>
      <c r="BQ208">
        <v>1.8657781380711698E-5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1.1885159106533499E-5</v>
      </c>
      <c r="CB208">
        <v>0</v>
      </c>
      <c r="CC208">
        <v>1.4474914262387199E-5</v>
      </c>
      <c r="CD208">
        <v>0</v>
      </c>
      <c r="CE208">
        <v>0</v>
      </c>
      <c r="CF208">
        <v>1.35984685129314E-5</v>
      </c>
      <c r="CG208">
        <v>1.7248685355037101E-5</v>
      </c>
      <c r="CH208">
        <v>0</v>
      </c>
      <c r="CI208">
        <v>1.27259437711712E-5</v>
      </c>
      <c r="CJ208">
        <f>MAX(E208:CI208)</f>
        <v>4.4857286627328501E-5</v>
      </c>
    </row>
  </sheetData>
  <sortState xmlns:xlrd2="http://schemas.microsoft.com/office/spreadsheetml/2017/richdata2" ref="A2:CJ219">
    <sortCondition ref="A1:A219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20F9-DC99-4FC5-A5AD-384AA13793CA}">
  <dimension ref="A1:D85"/>
  <sheetViews>
    <sheetView workbookViewId="0">
      <selection activeCell="H54" sqref="H54"/>
    </sheetView>
  </sheetViews>
  <sheetFormatPr defaultRowHeight="14.25" x14ac:dyDescent="0.2"/>
  <sheetData>
    <row r="1" spans="1:4" x14ac:dyDescent="0.2">
      <c r="A1" s="5" t="s">
        <v>421</v>
      </c>
      <c r="B1" t="s">
        <v>119</v>
      </c>
      <c r="C1" t="s">
        <v>89</v>
      </c>
      <c r="D1" t="s">
        <v>359</v>
      </c>
    </row>
    <row r="2" spans="1:4" x14ac:dyDescent="0.2">
      <c r="A2" t="s">
        <v>1</v>
      </c>
      <c r="B2">
        <v>20</v>
      </c>
      <c r="C2">
        <v>33</v>
      </c>
      <c r="D2">
        <v>22</v>
      </c>
    </row>
    <row r="3" spans="1:4" x14ac:dyDescent="0.2">
      <c r="A3" t="s">
        <v>2</v>
      </c>
      <c r="B3">
        <v>18</v>
      </c>
      <c r="C3">
        <v>30</v>
      </c>
      <c r="D3">
        <v>28</v>
      </c>
    </row>
    <row r="4" spans="1:4" x14ac:dyDescent="0.2">
      <c r="A4" t="s">
        <v>3</v>
      </c>
      <c r="B4">
        <v>22</v>
      </c>
      <c r="C4">
        <v>51</v>
      </c>
      <c r="D4">
        <v>27</v>
      </c>
    </row>
    <row r="5" spans="1:4" x14ac:dyDescent="0.2">
      <c r="A5" t="s">
        <v>4</v>
      </c>
      <c r="B5">
        <v>19</v>
      </c>
      <c r="C5">
        <v>40</v>
      </c>
      <c r="D5">
        <v>31</v>
      </c>
    </row>
    <row r="6" spans="1:4" x14ac:dyDescent="0.2">
      <c r="A6" t="s">
        <v>5</v>
      </c>
      <c r="B6">
        <v>13</v>
      </c>
      <c r="C6">
        <v>31</v>
      </c>
      <c r="D6">
        <v>20</v>
      </c>
    </row>
    <row r="7" spans="1:4" x14ac:dyDescent="0.2">
      <c r="A7" t="s">
        <v>6</v>
      </c>
      <c r="B7">
        <v>16</v>
      </c>
      <c r="C7">
        <v>30</v>
      </c>
      <c r="D7">
        <v>19</v>
      </c>
    </row>
    <row r="8" spans="1:4" x14ac:dyDescent="0.2">
      <c r="A8" t="s">
        <v>7</v>
      </c>
      <c r="B8">
        <v>16</v>
      </c>
      <c r="C8">
        <v>34</v>
      </c>
      <c r="D8">
        <v>19</v>
      </c>
    </row>
    <row r="9" spans="1:4" x14ac:dyDescent="0.2">
      <c r="A9" t="s">
        <v>8</v>
      </c>
      <c r="B9">
        <v>17</v>
      </c>
      <c r="C9">
        <v>24</v>
      </c>
      <c r="D9">
        <v>15</v>
      </c>
    </row>
    <row r="10" spans="1:4" x14ac:dyDescent="0.2">
      <c r="A10" t="s">
        <v>9</v>
      </c>
      <c r="B10">
        <v>10</v>
      </c>
      <c r="C10">
        <v>30</v>
      </c>
      <c r="D10">
        <v>15</v>
      </c>
    </row>
    <row r="11" spans="1:4" x14ac:dyDescent="0.2">
      <c r="A11" t="s">
        <v>10</v>
      </c>
      <c r="B11">
        <v>8</v>
      </c>
      <c r="C11">
        <v>20</v>
      </c>
      <c r="D11">
        <v>16</v>
      </c>
    </row>
    <row r="12" spans="1:4" x14ac:dyDescent="0.2">
      <c r="A12" t="s">
        <v>11</v>
      </c>
      <c r="B12">
        <v>13</v>
      </c>
      <c r="C12">
        <v>23</v>
      </c>
      <c r="D12">
        <v>14</v>
      </c>
    </row>
    <row r="13" spans="1:4" x14ac:dyDescent="0.2">
      <c r="A13" t="s">
        <v>12</v>
      </c>
      <c r="B13">
        <v>20</v>
      </c>
      <c r="C13">
        <v>45</v>
      </c>
      <c r="D13">
        <v>25</v>
      </c>
    </row>
    <row r="14" spans="1:4" x14ac:dyDescent="0.2">
      <c r="A14" t="s">
        <v>13</v>
      </c>
      <c r="B14">
        <v>15</v>
      </c>
      <c r="C14">
        <v>41</v>
      </c>
      <c r="D14">
        <v>28</v>
      </c>
    </row>
    <row r="15" spans="1:4" x14ac:dyDescent="0.2">
      <c r="A15" t="s">
        <v>14</v>
      </c>
      <c r="B15">
        <v>18</v>
      </c>
      <c r="C15">
        <v>34</v>
      </c>
      <c r="D15">
        <v>26</v>
      </c>
    </row>
    <row r="16" spans="1:4" x14ac:dyDescent="0.2">
      <c r="A16" t="s">
        <v>15</v>
      </c>
      <c r="B16">
        <v>22</v>
      </c>
      <c r="C16">
        <v>36</v>
      </c>
      <c r="D16">
        <v>25</v>
      </c>
    </row>
    <row r="17" spans="1:4" x14ac:dyDescent="0.2">
      <c r="A17" t="s">
        <v>16</v>
      </c>
      <c r="B17">
        <v>18</v>
      </c>
      <c r="C17">
        <v>36</v>
      </c>
      <c r="D17">
        <v>24</v>
      </c>
    </row>
    <row r="18" spans="1:4" x14ac:dyDescent="0.2">
      <c r="A18" t="s">
        <v>17</v>
      </c>
      <c r="B18">
        <v>22</v>
      </c>
      <c r="C18">
        <v>41</v>
      </c>
      <c r="D18">
        <v>24</v>
      </c>
    </row>
    <row r="19" spans="1:4" x14ac:dyDescent="0.2">
      <c r="A19" t="s">
        <v>18</v>
      </c>
      <c r="B19">
        <v>19</v>
      </c>
      <c r="C19">
        <v>37</v>
      </c>
      <c r="D19">
        <v>30</v>
      </c>
    </row>
    <row r="20" spans="1:4" x14ac:dyDescent="0.2">
      <c r="A20" t="s">
        <v>19</v>
      </c>
      <c r="B20">
        <v>14</v>
      </c>
      <c r="C20">
        <v>36</v>
      </c>
      <c r="D20">
        <v>29</v>
      </c>
    </row>
    <row r="21" spans="1:4" x14ac:dyDescent="0.2">
      <c r="A21" t="s">
        <v>20</v>
      </c>
      <c r="B21">
        <v>17</v>
      </c>
      <c r="C21">
        <v>24</v>
      </c>
      <c r="D21">
        <v>17</v>
      </c>
    </row>
    <row r="22" spans="1:4" x14ac:dyDescent="0.2">
      <c r="A22" t="s">
        <v>21</v>
      </c>
      <c r="B22">
        <v>17</v>
      </c>
      <c r="C22">
        <v>33</v>
      </c>
      <c r="D22">
        <v>17</v>
      </c>
    </row>
    <row r="23" spans="1:4" x14ac:dyDescent="0.2">
      <c r="A23" t="s">
        <v>22</v>
      </c>
      <c r="B23">
        <v>19</v>
      </c>
      <c r="C23">
        <v>30</v>
      </c>
      <c r="D23">
        <v>24</v>
      </c>
    </row>
    <row r="24" spans="1:4" x14ac:dyDescent="0.2">
      <c r="A24" t="s">
        <v>23</v>
      </c>
      <c r="B24">
        <v>20</v>
      </c>
      <c r="C24">
        <v>34</v>
      </c>
      <c r="D24">
        <v>24</v>
      </c>
    </row>
    <row r="25" spans="1:4" x14ac:dyDescent="0.2">
      <c r="A25" t="s">
        <v>24</v>
      </c>
      <c r="B25">
        <v>14</v>
      </c>
      <c r="C25">
        <v>43</v>
      </c>
      <c r="D25">
        <v>25</v>
      </c>
    </row>
    <row r="26" spans="1:4" x14ac:dyDescent="0.2">
      <c r="A26" t="s">
        <v>25</v>
      </c>
      <c r="B26">
        <v>21</v>
      </c>
      <c r="C26">
        <v>36</v>
      </c>
      <c r="D26">
        <v>24</v>
      </c>
    </row>
    <row r="27" spans="1:4" x14ac:dyDescent="0.2">
      <c r="A27" t="s">
        <v>26</v>
      </c>
      <c r="B27">
        <v>22</v>
      </c>
      <c r="C27">
        <v>30</v>
      </c>
      <c r="D27">
        <v>22</v>
      </c>
    </row>
    <row r="28" spans="1:4" x14ac:dyDescent="0.2">
      <c r="A28" t="s">
        <v>27</v>
      </c>
      <c r="B28">
        <v>20</v>
      </c>
      <c r="C28">
        <v>40</v>
      </c>
      <c r="D28">
        <v>35</v>
      </c>
    </row>
    <row r="29" spans="1:4" x14ac:dyDescent="0.2">
      <c r="A29" t="s">
        <v>28</v>
      </c>
      <c r="B29">
        <v>19</v>
      </c>
      <c r="C29">
        <v>34</v>
      </c>
      <c r="D29">
        <v>23</v>
      </c>
    </row>
    <row r="30" spans="1:4" x14ac:dyDescent="0.2">
      <c r="A30" t="s">
        <v>29</v>
      </c>
      <c r="B30">
        <v>18</v>
      </c>
      <c r="C30">
        <v>28</v>
      </c>
      <c r="D30">
        <v>18</v>
      </c>
    </row>
    <row r="31" spans="1:4" x14ac:dyDescent="0.2">
      <c r="A31" t="s">
        <v>30</v>
      </c>
      <c r="B31">
        <v>19</v>
      </c>
      <c r="C31">
        <v>26</v>
      </c>
      <c r="D31">
        <v>16</v>
      </c>
    </row>
    <row r="32" spans="1:4" x14ac:dyDescent="0.2">
      <c r="A32" t="s">
        <v>31</v>
      </c>
      <c r="B32">
        <v>13</v>
      </c>
      <c r="C32">
        <v>29</v>
      </c>
      <c r="D32">
        <v>20</v>
      </c>
    </row>
    <row r="33" spans="1:4" x14ac:dyDescent="0.2">
      <c r="A33" t="s">
        <v>32</v>
      </c>
      <c r="B33">
        <v>16</v>
      </c>
      <c r="C33">
        <v>27</v>
      </c>
      <c r="D33">
        <v>22</v>
      </c>
    </row>
    <row r="34" spans="1:4" x14ac:dyDescent="0.2">
      <c r="A34" t="s">
        <v>33</v>
      </c>
      <c r="B34">
        <v>20</v>
      </c>
      <c r="C34">
        <v>30</v>
      </c>
      <c r="D34">
        <v>21</v>
      </c>
    </row>
    <row r="35" spans="1:4" x14ac:dyDescent="0.2">
      <c r="A35" t="s">
        <v>34</v>
      </c>
      <c r="B35">
        <v>18</v>
      </c>
      <c r="C35">
        <v>30</v>
      </c>
      <c r="D35">
        <v>17</v>
      </c>
    </row>
    <row r="36" spans="1:4" x14ac:dyDescent="0.2">
      <c r="A36" t="s">
        <v>35</v>
      </c>
      <c r="B36">
        <v>17</v>
      </c>
      <c r="C36">
        <v>27</v>
      </c>
      <c r="D36">
        <v>17</v>
      </c>
    </row>
    <row r="37" spans="1:4" x14ac:dyDescent="0.2">
      <c r="A37" t="s">
        <v>36</v>
      </c>
      <c r="B37">
        <v>14</v>
      </c>
      <c r="C37">
        <v>29</v>
      </c>
      <c r="D37">
        <v>20</v>
      </c>
    </row>
    <row r="38" spans="1:4" x14ac:dyDescent="0.2">
      <c r="A38" t="s">
        <v>37</v>
      </c>
      <c r="B38">
        <v>17</v>
      </c>
      <c r="C38">
        <v>30</v>
      </c>
      <c r="D38">
        <v>16</v>
      </c>
    </row>
    <row r="39" spans="1:4" x14ac:dyDescent="0.2">
      <c r="A39" t="s">
        <v>38</v>
      </c>
      <c r="B39">
        <v>19</v>
      </c>
      <c r="C39">
        <v>35</v>
      </c>
      <c r="D39">
        <v>15</v>
      </c>
    </row>
    <row r="40" spans="1:4" x14ac:dyDescent="0.2">
      <c r="A40" t="s">
        <v>39</v>
      </c>
      <c r="B40">
        <v>7</v>
      </c>
      <c r="C40">
        <v>13</v>
      </c>
      <c r="D40">
        <v>5</v>
      </c>
    </row>
    <row r="41" spans="1:4" x14ac:dyDescent="0.2">
      <c r="A41" t="s">
        <v>40</v>
      </c>
      <c r="B41">
        <v>11</v>
      </c>
      <c r="C41">
        <v>24</v>
      </c>
      <c r="D41">
        <v>13</v>
      </c>
    </row>
    <row r="42" spans="1:4" x14ac:dyDescent="0.2">
      <c r="A42" t="s">
        <v>41</v>
      </c>
      <c r="B42">
        <v>17</v>
      </c>
      <c r="C42">
        <v>34</v>
      </c>
      <c r="D42">
        <v>18</v>
      </c>
    </row>
    <row r="43" spans="1:4" x14ac:dyDescent="0.2">
      <c r="A43" t="s">
        <v>42</v>
      </c>
      <c r="B43">
        <v>18</v>
      </c>
      <c r="C43">
        <v>33</v>
      </c>
      <c r="D43">
        <v>25</v>
      </c>
    </row>
    <row r="44" spans="1:4" x14ac:dyDescent="0.2">
      <c r="A44" t="s">
        <v>43</v>
      </c>
      <c r="B44">
        <v>20</v>
      </c>
      <c r="C44">
        <v>28</v>
      </c>
      <c r="D44">
        <v>14</v>
      </c>
    </row>
    <row r="45" spans="1:4" x14ac:dyDescent="0.2">
      <c r="A45" t="s">
        <v>44</v>
      </c>
      <c r="B45">
        <v>18</v>
      </c>
      <c r="C45">
        <v>30</v>
      </c>
      <c r="D45">
        <v>21</v>
      </c>
    </row>
    <row r="46" spans="1:4" x14ac:dyDescent="0.2">
      <c r="A46" t="s">
        <v>45</v>
      </c>
      <c r="B46">
        <v>17</v>
      </c>
      <c r="C46">
        <v>38</v>
      </c>
      <c r="D46">
        <v>23</v>
      </c>
    </row>
    <row r="47" spans="1:4" x14ac:dyDescent="0.2">
      <c r="A47" t="s">
        <v>46</v>
      </c>
      <c r="B47">
        <v>18</v>
      </c>
      <c r="C47">
        <v>25</v>
      </c>
      <c r="D47">
        <v>21</v>
      </c>
    </row>
    <row r="48" spans="1:4" x14ac:dyDescent="0.2">
      <c r="A48" t="s">
        <v>47</v>
      </c>
      <c r="B48">
        <v>19</v>
      </c>
      <c r="C48">
        <v>27</v>
      </c>
      <c r="D48">
        <v>19</v>
      </c>
    </row>
    <row r="49" spans="1:4" x14ac:dyDescent="0.2">
      <c r="A49" t="s">
        <v>48</v>
      </c>
      <c r="B49">
        <v>25</v>
      </c>
      <c r="C49">
        <v>36</v>
      </c>
      <c r="D49">
        <v>21</v>
      </c>
    </row>
    <row r="50" spans="1:4" x14ac:dyDescent="0.2">
      <c r="A50" t="s">
        <v>49</v>
      </c>
      <c r="B50">
        <v>23</v>
      </c>
      <c r="C50">
        <v>40</v>
      </c>
      <c r="D50">
        <v>20</v>
      </c>
    </row>
    <row r="51" spans="1:4" x14ac:dyDescent="0.2">
      <c r="A51" t="s">
        <v>50</v>
      </c>
      <c r="B51">
        <v>22</v>
      </c>
      <c r="C51">
        <v>33</v>
      </c>
      <c r="D51">
        <v>17</v>
      </c>
    </row>
    <row r="52" spans="1:4" x14ac:dyDescent="0.2">
      <c r="A52" t="s">
        <v>51</v>
      </c>
      <c r="B52">
        <v>20</v>
      </c>
      <c r="C52">
        <v>41</v>
      </c>
      <c r="D52">
        <v>29</v>
      </c>
    </row>
    <row r="53" spans="1:4" x14ac:dyDescent="0.2">
      <c r="A53" t="s">
        <v>52</v>
      </c>
      <c r="B53">
        <v>19</v>
      </c>
      <c r="C53">
        <v>32</v>
      </c>
      <c r="D53">
        <v>23</v>
      </c>
    </row>
    <row r="54" spans="1:4" x14ac:dyDescent="0.2">
      <c r="A54" t="s">
        <v>53</v>
      </c>
      <c r="B54">
        <v>21</v>
      </c>
      <c r="C54">
        <v>34</v>
      </c>
      <c r="D54">
        <v>18</v>
      </c>
    </row>
    <row r="55" spans="1:4" x14ac:dyDescent="0.2">
      <c r="A55" t="s">
        <v>54</v>
      </c>
      <c r="B55">
        <v>14</v>
      </c>
      <c r="C55">
        <v>32</v>
      </c>
      <c r="D55">
        <v>21</v>
      </c>
    </row>
    <row r="56" spans="1:4" x14ac:dyDescent="0.2">
      <c r="A56" t="s">
        <v>55</v>
      </c>
      <c r="B56">
        <v>12</v>
      </c>
      <c r="C56">
        <v>13</v>
      </c>
      <c r="D56">
        <v>16</v>
      </c>
    </row>
    <row r="57" spans="1:4" x14ac:dyDescent="0.2">
      <c r="A57" t="s">
        <v>56</v>
      </c>
      <c r="B57">
        <v>18</v>
      </c>
      <c r="C57">
        <v>31</v>
      </c>
      <c r="D57">
        <v>20</v>
      </c>
    </row>
    <row r="58" spans="1:4" x14ac:dyDescent="0.2">
      <c r="A58" t="s">
        <v>57</v>
      </c>
      <c r="B58">
        <v>21</v>
      </c>
      <c r="C58">
        <v>36</v>
      </c>
      <c r="D58">
        <v>22</v>
      </c>
    </row>
    <row r="59" spans="1:4" x14ac:dyDescent="0.2">
      <c r="A59" t="s">
        <v>58</v>
      </c>
      <c r="B59">
        <v>25</v>
      </c>
      <c r="C59">
        <v>42</v>
      </c>
      <c r="D59">
        <v>27</v>
      </c>
    </row>
    <row r="60" spans="1:4" x14ac:dyDescent="0.2">
      <c r="A60" t="s">
        <v>59</v>
      </c>
      <c r="B60">
        <v>19</v>
      </c>
      <c r="C60">
        <v>31</v>
      </c>
      <c r="D60">
        <v>21</v>
      </c>
    </row>
    <row r="61" spans="1:4" x14ac:dyDescent="0.2">
      <c r="A61" t="s">
        <v>60</v>
      </c>
      <c r="B61">
        <v>21</v>
      </c>
      <c r="C61">
        <v>30</v>
      </c>
      <c r="D61">
        <v>15</v>
      </c>
    </row>
    <row r="62" spans="1:4" x14ac:dyDescent="0.2">
      <c r="A62" t="s">
        <v>61</v>
      </c>
      <c r="B62">
        <v>15</v>
      </c>
      <c r="C62">
        <v>29</v>
      </c>
      <c r="D62">
        <v>17</v>
      </c>
    </row>
    <row r="63" spans="1:4" x14ac:dyDescent="0.2">
      <c r="A63" t="s">
        <v>62</v>
      </c>
      <c r="B63">
        <v>18</v>
      </c>
      <c r="C63">
        <v>27</v>
      </c>
      <c r="D63">
        <v>17</v>
      </c>
    </row>
    <row r="64" spans="1:4" x14ac:dyDescent="0.2">
      <c r="A64" t="s">
        <v>63</v>
      </c>
      <c r="B64">
        <v>22</v>
      </c>
      <c r="C64">
        <v>32</v>
      </c>
      <c r="D64">
        <v>17</v>
      </c>
    </row>
    <row r="65" spans="1:4" x14ac:dyDescent="0.2">
      <c r="A65" t="s">
        <v>64</v>
      </c>
      <c r="B65">
        <v>23</v>
      </c>
      <c r="C65">
        <v>36</v>
      </c>
      <c r="D65">
        <v>18</v>
      </c>
    </row>
    <row r="66" spans="1:4" x14ac:dyDescent="0.2">
      <c r="A66" t="s">
        <v>65</v>
      </c>
      <c r="B66">
        <v>21</v>
      </c>
      <c r="C66">
        <v>33</v>
      </c>
      <c r="D66">
        <v>18</v>
      </c>
    </row>
    <row r="67" spans="1:4" x14ac:dyDescent="0.2">
      <c r="A67" t="s">
        <v>66</v>
      </c>
      <c r="B67">
        <v>23</v>
      </c>
      <c r="C67">
        <v>36</v>
      </c>
      <c r="D67">
        <v>19</v>
      </c>
    </row>
    <row r="68" spans="1:4" x14ac:dyDescent="0.2">
      <c r="A68" t="s">
        <v>67</v>
      </c>
      <c r="B68">
        <v>18</v>
      </c>
      <c r="C68">
        <v>23</v>
      </c>
      <c r="D68">
        <v>12</v>
      </c>
    </row>
    <row r="69" spans="1:4" x14ac:dyDescent="0.2">
      <c r="A69" t="s">
        <v>68</v>
      </c>
      <c r="B69">
        <v>11</v>
      </c>
      <c r="C69">
        <v>19</v>
      </c>
      <c r="D69">
        <v>15</v>
      </c>
    </row>
    <row r="70" spans="1:4" x14ac:dyDescent="0.2">
      <c r="A70" t="s">
        <v>69</v>
      </c>
      <c r="B70">
        <v>18</v>
      </c>
      <c r="C70">
        <v>32</v>
      </c>
      <c r="D70">
        <v>22</v>
      </c>
    </row>
    <row r="71" spans="1:4" x14ac:dyDescent="0.2">
      <c r="A71" t="s">
        <v>70</v>
      </c>
      <c r="B71">
        <v>11</v>
      </c>
      <c r="C71">
        <v>20</v>
      </c>
      <c r="D71">
        <v>11</v>
      </c>
    </row>
    <row r="72" spans="1:4" x14ac:dyDescent="0.2">
      <c r="A72" t="s">
        <v>71</v>
      </c>
      <c r="B72">
        <v>19</v>
      </c>
      <c r="C72">
        <v>26</v>
      </c>
      <c r="D72">
        <v>17</v>
      </c>
    </row>
    <row r="73" spans="1:4" x14ac:dyDescent="0.2">
      <c r="A73" t="s">
        <v>72</v>
      </c>
      <c r="B73">
        <v>16</v>
      </c>
      <c r="C73">
        <v>35</v>
      </c>
      <c r="D73">
        <v>19</v>
      </c>
    </row>
    <row r="74" spans="1:4" x14ac:dyDescent="0.2">
      <c r="A74" t="s">
        <v>73</v>
      </c>
      <c r="B74">
        <v>15</v>
      </c>
      <c r="C74">
        <v>19</v>
      </c>
      <c r="D74">
        <v>13</v>
      </c>
    </row>
    <row r="75" spans="1:4" x14ac:dyDescent="0.2">
      <c r="A75" t="s">
        <v>74</v>
      </c>
      <c r="B75">
        <v>17</v>
      </c>
      <c r="C75">
        <v>36</v>
      </c>
      <c r="D75">
        <v>26</v>
      </c>
    </row>
    <row r="76" spans="1:4" x14ac:dyDescent="0.2">
      <c r="A76" t="s">
        <v>75</v>
      </c>
      <c r="B76">
        <v>22</v>
      </c>
      <c r="C76">
        <v>32</v>
      </c>
      <c r="D76">
        <v>22</v>
      </c>
    </row>
    <row r="77" spans="1:4" x14ac:dyDescent="0.2">
      <c r="A77" t="s">
        <v>76</v>
      </c>
      <c r="B77">
        <v>21</v>
      </c>
      <c r="C77">
        <v>31</v>
      </c>
      <c r="D77">
        <v>26</v>
      </c>
    </row>
    <row r="78" spans="1:4" x14ac:dyDescent="0.2">
      <c r="A78" t="s">
        <v>77</v>
      </c>
      <c r="B78">
        <v>23</v>
      </c>
      <c r="C78">
        <v>31</v>
      </c>
      <c r="D78">
        <v>21</v>
      </c>
    </row>
    <row r="79" spans="1:4" x14ac:dyDescent="0.2">
      <c r="A79" t="s">
        <v>78</v>
      </c>
      <c r="B79">
        <v>17</v>
      </c>
      <c r="C79">
        <v>31</v>
      </c>
      <c r="D79">
        <v>21</v>
      </c>
    </row>
    <row r="80" spans="1:4" x14ac:dyDescent="0.2">
      <c r="A80" t="s">
        <v>79</v>
      </c>
      <c r="B80">
        <v>20</v>
      </c>
      <c r="C80">
        <v>34</v>
      </c>
      <c r="D80">
        <v>22</v>
      </c>
    </row>
    <row r="81" spans="1:4" x14ac:dyDescent="0.2">
      <c r="A81" t="s">
        <v>80</v>
      </c>
      <c r="B81">
        <v>19</v>
      </c>
      <c r="C81">
        <v>37</v>
      </c>
      <c r="D81">
        <v>21</v>
      </c>
    </row>
    <row r="82" spans="1:4" x14ac:dyDescent="0.2">
      <c r="A82" t="s">
        <v>81</v>
      </c>
      <c r="B82">
        <v>23</v>
      </c>
      <c r="C82">
        <v>38</v>
      </c>
      <c r="D82">
        <v>20</v>
      </c>
    </row>
    <row r="83" spans="1:4" x14ac:dyDescent="0.2">
      <c r="A83" t="s">
        <v>82</v>
      </c>
      <c r="B83">
        <v>24</v>
      </c>
      <c r="C83">
        <v>41</v>
      </c>
      <c r="D83">
        <v>17</v>
      </c>
    </row>
    <row r="84" spans="1:4" x14ac:dyDescent="0.2">
      <c r="A84" t="s">
        <v>83</v>
      </c>
      <c r="B84">
        <v>16</v>
      </c>
      <c r="C84">
        <v>28</v>
      </c>
      <c r="D84">
        <v>19</v>
      </c>
    </row>
    <row r="85" spans="1:4" x14ac:dyDescent="0.2">
      <c r="A85" t="s">
        <v>84</v>
      </c>
      <c r="B85">
        <v>14</v>
      </c>
      <c r="C85">
        <v>22</v>
      </c>
      <c r="D85">
        <v>16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85"/>
  <sheetViews>
    <sheetView workbookViewId="0">
      <selection activeCell="Q20" sqref="Q20"/>
    </sheetView>
  </sheetViews>
  <sheetFormatPr defaultColWidth="9" defaultRowHeight="14.25" x14ac:dyDescent="0.2"/>
  <cols>
    <col min="1" max="1" width="22.625" customWidth="1"/>
    <col min="2" max="2" width="13.75" style="2" bestFit="1" customWidth="1"/>
    <col min="4" max="4" width="14.125" customWidth="1"/>
    <col min="5" max="5" width="19.75" customWidth="1"/>
    <col min="6" max="6" width="16.75" customWidth="1"/>
    <col min="21" max="21" width="19.75" bestFit="1" customWidth="1"/>
    <col min="22" max="22" width="14.125" bestFit="1" customWidth="1"/>
    <col min="23" max="23" width="19.75" bestFit="1" customWidth="1"/>
    <col min="24" max="24" width="16.75" bestFit="1" customWidth="1"/>
  </cols>
  <sheetData>
    <row r="1" spans="1:25" ht="15.75" x14ac:dyDescent="0.25">
      <c r="A1" s="5" t="s">
        <v>421</v>
      </c>
      <c r="B1" s="14" t="s">
        <v>397</v>
      </c>
      <c r="C1" s="1" t="s">
        <v>399</v>
      </c>
      <c r="D1" t="s">
        <v>119</v>
      </c>
      <c r="E1" t="s">
        <v>89</v>
      </c>
      <c r="F1" t="s">
        <v>359</v>
      </c>
      <c r="U1" s="1" t="s">
        <v>393</v>
      </c>
      <c r="V1" t="s">
        <v>119</v>
      </c>
      <c r="W1" t="s">
        <v>89</v>
      </c>
      <c r="X1" t="s">
        <v>359</v>
      </c>
      <c r="Y1" s="5" t="s">
        <v>400</v>
      </c>
    </row>
    <row r="2" spans="1:25" x14ac:dyDescent="0.2">
      <c r="A2" t="s">
        <v>1</v>
      </c>
      <c r="B2" s="2" t="s">
        <v>390</v>
      </c>
      <c r="C2" t="s">
        <v>390</v>
      </c>
      <c r="D2">
        <v>3.3743078310481997E-2</v>
      </c>
      <c r="E2">
        <v>6.6618818450146097E-2</v>
      </c>
      <c r="F2">
        <v>1.9231572673077901E-2</v>
      </c>
      <c r="U2" s="5" t="s">
        <v>394</v>
      </c>
      <c r="V2">
        <v>2.3360456303455051E-2</v>
      </c>
      <c r="W2">
        <v>7.830703149284203E-2</v>
      </c>
      <c r="X2">
        <v>1.2464167655651701E-2</v>
      </c>
      <c r="Y2" s="14" t="s">
        <v>397</v>
      </c>
    </row>
    <row r="3" spans="1:25" x14ac:dyDescent="0.2">
      <c r="A3" t="s">
        <v>10</v>
      </c>
      <c r="B3" s="2" t="s">
        <v>391</v>
      </c>
      <c r="C3" t="s">
        <v>390</v>
      </c>
      <c r="D3">
        <v>3.4880141655038899E-3</v>
      </c>
      <c r="E3">
        <v>1.8480099971013599E-2</v>
      </c>
      <c r="F3">
        <v>2.4722253548905499E-3</v>
      </c>
      <c r="U3" s="5" t="s">
        <v>395</v>
      </c>
      <c r="V3">
        <v>2.7431911541455498E-2</v>
      </c>
      <c r="W3">
        <v>9.3614918252473187E-2</v>
      </c>
      <c r="X3">
        <v>1.6266751250917953E-2</v>
      </c>
      <c r="Y3" s="14" t="s">
        <v>397</v>
      </c>
    </row>
    <row r="4" spans="1:25" ht="15.75" x14ac:dyDescent="0.25">
      <c r="A4" t="s">
        <v>11</v>
      </c>
      <c r="B4" s="2" t="s">
        <v>391</v>
      </c>
      <c r="C4" t="s">
        <v>390</v>
      </c>
      <c r="D4">
        <v>5.7272668435278803E-3</v>
      </c>
      <c r="E4">
        <v>3.4604708884111803E-2</v>
      </c>
      <c r="F4">
        <v>2.3027758562755699E-3</v>
      </c>
      <c r="U4" s="5" t="s">
        <v>394</v>
      </c>
      <c r="V4">
        <v>2.4415654224945519E-2</v>
      </c>
      <c r="W4">
        <v>7.8932465067839519E-2</v>
      </c>
      <c r="X4">
        <v>1.583006143315091E-2</v>
      </c>
      <c r="Y4" s="1" t="s">
        <v>399</v>
      </c>
    </row>
    <row r="5" spans="1:25" ht="15.75" x14ac:dyDescent="0.25">
      <c r="A5" t="s">
        <v>12</v>
      </c>
      <c r="B5" s="2" t="s">
        <v>390</v>
      </c>
      <c r="C5" t="s">
        <v>391</v>
      </c>
      <c r="D5">
        <v>9.4932979869577702E-3</v>
      </c>
      <c r="E5">
        <v>5.7820159478895301E-2</v>
      </c>
      <c r="F5">
        <v>6.5602768369472202E-3</v>
      </c>
      <c r="U5" s="5" t="s">
        <v>395</v>
      </c>
      <c r="V5">
        <v>2.5971502014637847E-2</v>
      </c>
      <c r="W5">
        <v>9.0220942919213731E-2</v>
      </c>
      <c r="X5">
        <v>1.340921327380743E-2</v>
      </c>
      <c r="Y5" s="1" t="s">
        <v>399</v>
      </c>
    </row>
    <row r="6" spans="1:25" x14ac:dyDescent="0.2">
      <c r="A6" t="s">
        <v>13</v>
      </c>
      <c r="B6" s="2" t="s">
        <v>391</v>
      </c>
      <c r="C6" t="s">
        <v>390</v>
      </c>
      <c r="D6">
        <v>3.4774486620371303E-2</v>
      </c>
      <c r="E6">
        <v>4.7271292815877497E-2</v>
      </c>
      <c r="F6">
        <v>2.41167986276291E-2</v>
      </c>
    </row>
    <row r="7" spans="1:25" x14ac:dyDescent="0.2">
      <c r="A7" t="s">
        <v>14</v>
      </c>
      <c r="B7" s="2" t="s">
        <v>390</v>
      </c>
      <c r="C7" t="s">
        <v>390</v>
      </c>
      <c r="D7">
        <v>1.28317729461649E-2</v>
      </c>
      <c r="E7">
        <v>6.1953169582795703E-2</v>
      </c>
      <c r="F7">
        <v>5.7846696169316404E-3</v>
      </c>
    </row>
    <row r="8" spans="1:25" x14ac:dyDescent="0.2">
      <c r="A8" t="s">
        <v>15</v>
      </c>
      <c r="B8" s="2" t="s">
        <v>391</v>
      </c>
      <c r="C8" t="s">
        <v>390</v>
      </c>
      <c r="D8">
        <v>1.3177185580841201E-2</v>
      </c>
      <c r="E8">
        <v>5.5007408155147E-2</v>
      </c>
      <c r="F8">
        <v>6.2959913150201002E-3</v>
      </c>
    </row>
    <row r="9" spans="1:25" x14ac:dyDescent="0.2">
      <c r="A9" t="s">
        <v>16</v>
      </c>
      <c r="B9" s="2" t="s">
        <v>391</v>
      </c>
      <c r="C9" t="s">
        <v>391</v>
      </c>
      <c r="D9">
        <v>1.0557590036579601E-2</v>
      </c>
      <c r="E9">
        <v>6.4533920948504603E-2</v>
      </c>
      <c r="F9">
        <v>1.16995813380986E-2</v>
      </c>
      <c r="U9" s="5" t="s">
        <v>410</v>
      </c>
      <c r="V9" s="5" t="s">
        <v>411</v>
      </c>
    </row>
    <row r="10" spans="1:25" x14ac:dyDescent="0.2">
      <c r="A10" t="s">
        <v>17</v>
      </c>
      <c r="B10" s="2" t="s">
        <v>390</v>
      </c>
      <c r="C10" t="s">
        <v>391</v>
      </c>
      <c r="D10">
        <v>2.57010031608703E-2</v>
      </c>
      <c r="E10">
        <v>0.101569137193325</v>
      </c>
      <c r="F10">
        <v>1.0940465813684601E-2</v>
      </c>
      <c r="U10" s="5" t="s">
        <v>407</v>
      </c>
      <c r="V10">
        <v>2.5371657083672131E-2</v>
      </c>
    </row>
    <row r="11" spans="1:25" x14ac:dyDescent="0.2">
      <c r="A11" t="s">
        <v>18</v>
      </c>
      <c r="B11" s="2" t="s">
        <v>391</v>
      </c>
      <c r="C11" t="s">
        <v>390</v>
      </c>
      <c r="D11">
        <v>3.1286502603089503E-2</v>
      </c>
      <c r="E11">
        <v>7.22586210237047E-2</v>
      </c>
      <c r="F11">
        <v>4.1485644179615297E-2</v>
      </c>
      <c r="U11" s="5" t="s">
        <v>408</v>
      </c>
      <c r="V11">
        <v>8.586875868735859E-2</v>
      </c>
    </row>
    <row r="12" spans="1:25" x14ac:dyDescent="0.2">
      <c r="A12" t="s">
        <v>19</v>
      </c>
      <c r="B12" s="2" t="s">
        <v>391</v>
      </c>
      <c r="C12" t="s">
        <v>390</v>
      </c>
      <c r="D12">
        <v>2.32952624397086E-2</v>
      </c>
      <c r="E12">
        <v>4.1595014752223602E-2</v>
      </c>
      <c r="F12">
        <v>1.6739830551785E-2</v>
      </c>
      <c r="U12" s="5" t="s">
        <v>409</v>
      </c>
      <c r="V12">
        <v>1.4342552323192868E-2</v>
      </c>
    </row>
    <row r="13" spans="1:25" x14ac:dyDescent="0.2">
      <c r="A13" t="s">
        <v>2</v>
      </c>
      <c r="B13" s="2" t="s">
        <v>390</v>
      </c>
      <c r="C13" t="s">
        <v>390</v>
      </c>
      <c r="D13">
        <v>2.0200899279463801E-2</v>
      </c>
      <c r="E13">
        <v>6.4971295695134101E-2</v>
      </c>
      <c r="F13">
        <v>3.0317246647634799E-2</v>
      </c>
    </row>
    <row r="14" spans="1:25" x14ac:dyDescent="0.2">
      <c r="A14" t="s">
        <v>20</v>
      </c>
      <c r="B14" s="2" t="s">
        <v>391</v>
      </c>
      <c r="C14" t="s">
        <v>391</v>
      </c>
      <c r="D14">
        <v>3.9992889406877501E-3</v>
      </c>
      <c r="E14">
        <v>1.3584632390031499E-2</v>
      </c>
      <c r="F14">
        <v>2.2831518427972501E-3</v>
      </c>
    </row>
    <row r="15" spans="1:25" x14ac:dyDescent="0.2">
      <c r="A15" t="s">
        <v>21</v>
      </c>
      <c r="B15" s="2" t="s">
        <v>390</v>
      </c>
      <c r="C15" t="s">
        <v>390</v>
      </c>
      <c r="D15">
        <v>1.9151606947076301E-2</v>
      </c>
      <c r="E15">
        <v>5.3792613202938801E-2</v>
      </c>
      <c r="F15">
        <v>8.5424481303916291E-3</v>
      </c>
    </row>
    <row r="16" spans="1:25" x14ac:dyDescent="0.2">
      <c r="A16" t="s">
        <v>22</v>
      </c>
      <c r="B16" s="2" t="s">
        <v>391</v>
      </c>
      <c r="C16" t="s">
        <v>391</v>
      </c>
      <c r="D16">
        <v>1.27705567157916E-2</v>
      </c>
      <c r="E16">
        <v>5.0535546405830599E-2</v>
      </c>
      <c r="F16">
        <v>7.9469601824074601E-3</v>
      </c>
    </row>
    <row r="17" spans="1:6" x14ac:dyDescent="0.2">
      <c r="A17" t="s">
        <v>23</v>
      </c>
      <c r="B17" s="2" t="s">
        <v>391</v>
      </c>
      <c r="C17" t="s">
        <v>390</v>
      </c>
      <c r="D17">
        <v>4.0777808626109302E-2</v>
      </c>
      <c r="E17">
        <v>0.10890605806192299</v>
      </c>
      <c r="F17">
        <v>1.6485801670222199E-2</v>
      </c>
    </row>
    <row r="18" spans="1:6" x14ac:dyDescent="0.2">
      <c r="A18" t="s">
        <v>24</v>
      </c>
      <c r="B18" s="2" t="s">
        <v>390</v>
      </c>
      <c r="C18" t="s">
        <v>390</v>
      </c>
      <c r="D18">
        <v>1.1687792436583799E-2</v>
      </c>
      <c r="E18">
        <v>5.4995686506405898E-2</v>
      </c>
      <c r="F18">
        <v>1.1448866995059301E-2</v>
      </c>
    </row>
    <row r="19" spans="1:6" x14ac:dyDescent="0.2">
      <c r="A19" t="s">
        <v>25</v>
      </c>
      <c r="B19" s="2" t="s">
        <v>390</v>
      </c>
      <c r="C19" t="s">
        <v>390</v>
      </c>
      <c r="D19">
        <v>4.2218402580021998E-2</v>
      </c>
      <c r="E19">
        <v>0.13071038630822401</v>
      </c>
      <c r="F19">
        <v>1.34731562371365E-2</v>
      </c>
    </row>
    <row r="20" spans="1:6" x14ac:dyDescent="0.2">
      <c r="A20" t="s">
        <v>26</v>
      </c>
      <c r="B20" s="2" t="s">
        <v>390</v>
      </c>
      <c r="C20" t="s">
        <v>390</v>
      </c>
      <c r="D20">
        <v>1.5868348586528701E-2</v>
      </c>
      <c r="E20">
        <v>9.2261975132244697E-2</v>
      </c>
      <c r="F20">
        <v>1.32760183725194E-2</v>
      </c>
    </row>
    <row r="21" spans="1:6" x14ac:dyDescent="0.2">
      <c r="A21" t="s">
        <v>27</v>
      </c>
      <c r="B21" s="2" t="s">
        <v>391</v>
      </c>
      <c r="C21" t="s">
        <v>390</v>
      </c>
      <c r="D21">
        <v>5.6817153845437798E-2</v>
      </c>
      <c r="E21">
        <v>8.9701681082860196E-2</v>
      </c>
      <c r="F21">
        <v>3.7487850058310498E-2</v>
      </c>
    </row>
    <row r="22" spans="1:6" x14ac:dyDescent="0.2">
      <c r="A22" t="s">
        <v>28</v>
      </c>
      <c r="B22" s="2" t="s">
        <v>391</v>
      </c>
      <c r="C22" t="s">
        <v>391</v>
      </c>
      <c r="D22">
        <v>2.2711880522227699E-2</v>
      </c>
      <c r="E22">
        <v>0.14317554458668899</v>
      </c>
      <c r="F22">
        <v>2.3406977603836199E-2</v>
      </c>
    </row>
    <row r="23" spans="1:6" x14ac:dyDescent="0.2">
      <c r="A23" t="s">
        <v>29</v>
      </c>
      <c r="B23" s="2" t="s">
        <v>390</v>
      </c>
      <c r="C23" t="s">
        <v>390</v>
      </c>
      <c r="D23">
        <v>2.4132482813443198E-2</v>
      </c>
      <c r="E23">
        <v>8.7970556922199794E-2</v>
      </c>
      <c r="F23">
        <v>6.7054572566532002E-3</v>
      </c>
    </row>
    <row r="24" spans="1:6" x14ac:dyDescent="0.2">
      <c r="A24" t="s">
        <v>3</v>
      </c>
      <c r="B24" s="2" t="s">
        <v>390</v>
      </c>
      <c r="C24" t="s">
        <v>390</v>
      </c>
      <c r="D24">
        <v>5.6461067381206501E-2</v>
      </c>
      <c r="E24">
        <v>0.119757104737482</v>
      </c>
      <c r="F24">
        <v>2.7842525652241799E-2</v>
      </c>
    </row>
    <row r="25" spans="1:6" x14ac:dyDescent="0.2">
      <c r="A25" t="s">
        <v>30</v>
      </c>
      <c r="B25" s="2" t="s">
        <v>391</v>
      </c>
      <c r="C25" t="s">
        <v>390</v>
      </c>
      <c r="D25">
        <v>1.02091451068491E-2</v>
      </c>
      <c r="E25">
        <v>8.3611927416826007E-2</v>
      </c>
      <c r="F25">
        <v>6.2522412660653698E-3</v>
      </c>
    </row>
    <row r="26" spans="1:6" x14ac:dyDescent="0.2">
      <c r="A26" t="s">
        <v>31</v>
      </c>
      <c r="B26" s="2" t="s">
        <v>390</v>
      </c>
      <c r="C26" t="s">
        <v>391</v>
      </c>
      <c r="D26">
        <v>1.93677412371192E-2</v>
      </c>
      <c r="E26">
        <v>7.3859663913623599E-2</v>
      </c>
      <c r="F26">
        <v>6.3310146233722803E-3</v>
      </c>
    </row>
    <row r="27" spans="1:6" x14ac:dyDescent="0.2">
      <c r="A27" t="s">
        <v>32</v>
      </c>
      <c r="B27" s="2" t="s">
        <v>391</v>
      </c>
      <c r="C27" t="s">
        <v>390</v>
      </c>
      <c r="D27">
        <v>9.8681739444422094E-3</v>
      </c>
      <c r="E27">
        <v>6.90099452471543E-2</v>
      </c>
      <c r="F27">
        <v>6.7664576368265403E-3</v>
      </c>
    </row>
    <row r="28" spans="1:6" x14ac:dyDescent="0.2">
      <c r="A28" t="s">
        <v>33</v>
      </c>
      <c r="B28" s="2" t="s">
        <v>391</v>
      </c>
      <c r="C28" t="s">
        <v>390</v>
      </c>
      <c r="D28">
        <v>2.3502360359890902E-2</v>
      </c>
      <c r="E28">
        <v>8.8329159726400402E-2</v>
      </c>
      <c r="F28">
        <v>6.3088662030231502E-3</v>
      </c>
    </row>
    <row r="29" spans="1:6" x14ac:dyDescent="0.2">
      <c r="A29" t="s">
        <v>34</v>
      </c>
      <c r="B29" s="2" t="s">
        <v>391</v>
      </c>
      <c r="C29" t="s">
        <v>391</v>
      </c>
      <c r="D29">
        <v>1.37506439307006E-2</v>
      </c>
      <c r="E29">
        <v>8.6266982172422194E-2</v>
      </c>
      <c r="F29">
        <v>6.63662554512313E-3</v>
      </c>
    </row>
    <row r="30" spans="1:6" x14ac:dyDescent="0.2">
      <c r="A30" t="s">
        <v>35</v>
      </c>
      <c r="B30" s="2" t="s">
        <v>390</v>
      </c>
      <c r="C30" t="s">
        <v>391</v>
      </c>
      <c r="D30">
        <v>2.2838458007078299E-2</v>
      </c>
      <c r="E30">
        <v>7.0221135469800203E-2</v>
      </c>
      <c r="F30">
        <v>5.5929183533768596E-3</v>
      </c>
    </row>
    <row r="31" spans="1:6" x14ac:dyDescent="0.2">
      <c r="A31" t="s">
        <v>36</v>
      </c>
      <c r="B31" s="2" t="s">
        <v>391</v>
      </c>
      <c r="C31" t="s">
        <v>390</v>
      </c>
      <c r="D31">
        <v>1.40245202143286E-2</v>
      </c>
      <c r="E31">
        <v>6.6185112880040795E-2</v>
      </c>
      <c r="F31">
        <v>6.2603727085998604E-3</v>
      </c>
    </row>
    <row r="32" spans="1:6" x14ac:dyDescent="0.2">
      <c r="A32" t="s">
        <v>37</v>
      </c>
      <c r="B32" s="2" t="s">
        <v>391</v>
      </c>
      <c r="C32" t="s">
        <v>391</v>
      </c>
      <c r="D32">
        <v>1.5660465148280699E-2</v>
      </c>
      <c r="E32">
        <v>3.3605652411685102E-2</v>
      </c>
      <c r="F32">
        <v>2.1759967420424599E-3</v>
      </c>
    </row>
    <row r="33" spans="1:6" x14ac:dyDescent="0.2">
      <c r="A33" t="s">
        <v>38</v>
      </c>
      <c r="B33" s="2" t="s">
        <v>390</v>
      </c>
      <c r="C33" t="s">
        <v>390</v>
      </c>
      <c r="D33">
        <v>8.2479312071238806E-3</v>
      </c>
      <c r="E33">
        <v>4.6154124709335997E-2</v>
      </c>
      <c r="F33">
        <v>3.5088241058926798E-3</v>
      </c>
    </row>
    <row r="34" spans="1:6" x14ac:dyDescent="0.2">
      <c r="A34" t="s">
        <v>39</v>
      </c>
      <c r="B34" s="2" t="s">
        <v>391</v>
      </c>
      <c r="C34" t="s">
        <v>391</v>
      </c>
      <c r="D34">
        <v>2.2841286506701499E-2</v>
      </c>
      <c r="E34">
        <v>7.5506875025379894E-2</v>
      </c>
      <c r="F34">
        <v>1.68017109546706E-2</v>
      </c>
    </row>
    <row r="35" spans="1:6" x14ac:dyDescent="0.2">
      <c r="A35" t="s">
        <v>4</v>
      </c>
      <c r="B35" s="2" t="s">
        <v>390</v>
      </c>
      <c r="C35" t="s">
        <v>391</v>
      </c>
      <c r="D35">
        <v>4.1974499826670501E-2</v>
      </c>
      <c r="E35">
        <v>8.5409092993995295E-2</v>
      </c>
      <c r="F35">
        <v>0.112206710405125</v>
      </c>
    </row>
    <row r="36" spans="1:6" x14ac:dyDescent="0.2">
      <c r="A36" t="s">
        <v>40</v>
      </c>
      <c r="B36" s="2" t="s">
        <v>391</v>
      </c>
      <c r="C36" t="s">
        <v>391</v>
      </c>
      <c r="D36">
        <v>6.2060867132948299E-3</v>
      </c>
      <c r="E36">
        <v>6.0007887497807298E-2</v>
      </c>
      <c r="F36">
        <v>4.63049736511458E-3</v>
      </c>
    </row>
    <row r="37" spans="1:6" x14ac:dyDescent="0.2">
      <c r="A37" t="s">
        <v>41</v>
      </c>
      <c r="B37" s="2" t="s">
        <v>391</v>
      </c>
      <c r="C37" t="s">
        <v>390</v>
      </c>
      <c r="D37">
        <v>3.6515872389462599E-2</v>
      </c>
      <c r="E37">
        <v>0.13106018837518399</v>
      </c>
      <c r="F37">
        <v>1.01051343315964E-2</v>
      </c>
    </row>
    <row r="38" spans="1:6" x14ac:dyDescent="0.2">
      <c r="A38" t="s">
        <v>42</v>
      </c>
      <c r="B38" s="2" t="s">
        <v>390</v>
      </c>
      <c r="C38" t="s">
        <v>391</v>
      </c>
      <c r="D38">
        <v>4.6269994723276198E-2</v>
      </c>
      <c r="E38">
        <v>7.7689978709492805E-2</v>
      </c>
      <c r="F38">
        <v>7.2049189369670294E-2</v>
      </c>
    </row>
    <row r="39" spans="1:6" x14ac:dyDescent="0.2">
      <c r="A39" t="s">
        <v>43</v>
      </c>
      <c r="B39" s="2" t="s">
        <v>391</v>
      </c>
      <c r="C39" t="s">
        <v>390</v>
      </c>
      <c r="D39">
        <v>3.0440891709553799E-2</v>
      </c>
      <c r="E39">
        <v>9.0939956222310006E-2</v>
      </c>
      <c r="F39">
        <v>1.2958897768191001E-2</v>
      </c>
    </row>
    <row r="40" spans="1:6" x14ac:dyDescent="0.2">
      <c r="A40" t="s">
        <v>44</v>
      </c>
      <c r="B40" s="2" t="s">
        <v>391</v>
      </c>
      <c r="C40" t="s">
        <v>391</v>
      </c>
      <c r="D40">
        <v>3.2990327710134999E-2</v>
      </c>
      <c r="E40">
        <v>5.7147367137084001E-2</v>
      </c>
      <c r="F40">
        <v>1.29702197749539E-2</v>
      </c>
    </row>
    <row r="41" spans="1:6" x14ac:dyDescent="0.2">
      <c r="A41" t="s">
        <v>45</v>
      </c>
      <c r="B41" s="2" t="s">
        <v>391</v>
      </c>
      <c r="C41" t="s">
        <v>391</v>
      </c>
      <c r="D41">
        <v>5.0503066641924298E-2</v>
      </c>
      <c r="E41">
        <v>0.114473021704907</v>
      </c>
      <c r="F41">
        <v>3.2013473376458601E-2</v>
      </c>
    </row>
    <row r="42" spans="1:6" x14ac:dyDescent="0.2">
      <c r="A42" t="s">
        <v>46</v>
      </c>
      <c r="B42" s="2" t="s">
        <v>391</v>
      </c>
      <c r="C42" t="s">
        <v>391</v>
      </c>
      <c r="D42">
        <v>3.3099751107413297E-2</v>
      </c>
      <c r="E42">
        <v>8.9835081915819404E-2</v>
      </c>
      <c r="F42">
        <v>1.16405961048458E-2</v>
      </c>
    </row>
    <row r="43" spans="1:6" x14ac:dyDescent="0.2">
      <c r="A43" t="s">
        <v>47</v>
      </c>
      <c r="B43" s="2" t="s">
        <v>391</v>
      </c>
      <c r="C43" t="s">
        <v>391</v>
      </c>
      <c r="D43">
        <v>2.7164033941157802E-2</v>
      </c>
      <c r="E43">
        <v>0.114160647418993</v>
      </c>
      <c r="F43">
        <v>1.5835490223260699E-2</v>
      </c>
    </row>
    <row r="44" spans="1:6" x14ac:dyDescent="0.2">
      <c r="A44" t="s">
        <v>48</v>
      </c>
      <c r="B44" s="2" t="s">
        <v>390</v>
      </c>
      <c r="C44" t="s">
        <v>390</v>
      </c>
      <c r="D44">
        <v>5.3748773050768903E-2</v>
      </c>
      <c r="E44">
        <v>0.127955171375815</v>
      </c>
      <c r="F44">
        <v>1.39035439884025E-2</v>
      </c>
    </row>
    <row r="45" spans="1:6" x14ac:dyDescent="0.2">
      <c r="A45" t="s">
        <v>49</v>
      </c>
      <c r="B45" s="2" t="s">
        <v>390</v>
      </c>
      <c r="C45" t="s">
        <v>390</v>
      </c>
      <c r="D45">
        <v>5.6365906368773297E-2</v>
      </c>
      <c r="E45">
        <v>0.15590312362789999</v>
      </c>
      <c r="F45">
        <v>2.9067305592110002E-2</v>
      </c>
    </row>
    <row r="46" spans="1:6" x14ac:dyDescent="0.2">
      <c r="A46" t="s">
        <v>5</v>
      </c>
      <c r="B46" s="2" t="s">
        <v>391</v>
      </c>
      <c r="C46" t="s">
        <v>391</v>
      </c>
      <c r="D46">
        <v>1.6160968970471101E-2</v>
      </c>
      <c r="E46">
        <v>4.5500499151379097E-2</v>
      </c>
      <c r="F46">
        <v>1.46706351617545E-2</v>
      </c>
    </row>
    <row r="47" spans="1:6" x14ac:dyDescent="0.2">
      <c r="A47" t="s">
        <v>50</v>
      </c>
      <c r="B47" s="2" t="s">
        <v>390</v>
      </c>
      <c r="C47" t="s">
        <v>391</v>
      </c>
      <c r="D47">
        <v>4.4303242575517397E-2</v>
      </c>
      <c r="E47">
        <v>0.10819205364343</v>
      </c>
      <c r="F47">
        <v>1.2634209245827701E-2</v>
      </c>
    </row>
    <row r="48" spans="1:6" x14ac:dyDescent="0.2">
      <c r="A48" t="s">
        <v>51</v>
      </c>
      <c r="B48" s="2" t="s">
        <v>390</v>
      </c>
      <c r="C48" t="s">
        <v>390</v>
      </c>
      <c r="D48">
        <v>2.45642499534343E-2</v>
      </c>
      <c r="E48">
        <v>9.1137737564095905E-2</v>
      </c>
      <c r="F48">
        <v>1.60759385907643E-2</v>
      </c>
    </row>
    <row r="49" spans="1:6" x14ac:dyDescent="0.2">
      <c r="A49" t="s">
        <v>52</v>
      </c>
      <c r="B49" s="2" t="s">
        <v>391</v>
      </c>
      <c r="C49" t="s">
        <v>391</v>
      </c>
      <c r="D49">
        <v>5.4345056076131999E-2</v>
      </c>
      <c r="E49">
        <v>0.12625358828392699</v>
      </c>
      <c r="F49">
        <v>1.7094746102147399E-2</v>
      </c>
    </row>
    <row r="50" spans="1:6" x14ac:dyDescent="0.2">
      <c r="A50" t="s">
        <v>53</v>
      </c>
      <c r="B50" s="2" t="s">
        <v>390</v>
      </c>
      <c r="C50" t="s">
        <v>390</v>
      </c>
      <c r="D50">
        <v>2.6309975519586502E-2</v>
      </c>
      <c r="E50">
        <v>7.4215017085625404E-2</v>
      </c>
      <c r="F50">
        <v>1.3629628801630199E-2</v>
      </c>
    </row>
    <row r="51" spans="1:6" x14ac:dyDescent="0.2">
      <c r="A51" t="s">
        <v>54</v>
      </c>
      <c r="B51" s="2" t="s">
        <v>390</v>
      </c>
      <c r="C51" t="s">
        <v>390</v>
      </c>
      <c r="D51">
        <v>2.64469861028949E-2</v>
      </c>
      <c r="E51">
        <v>9.9778059343644601E-2</v>
      </c>
      <c r="F51">
        <v>5.6552882378041796E-3</v>
      </c>
    </row>
    <row r="52" spans="1:6" x14ac:dyDescent="0.2">
      <c r="A52" t="s">
        <v>55</v>
      </c>
      <c r="B52" s="2" t="s">
        <v>390</v>
      </c>
      <c r="C52" t="s">
        <v>390</v>
      </c>
      <c r="D52">
        <v>1.83415626494565E-3</v>
      </c>
      <c r="E52">
        <v>4.3742197047408102E-2</v>
      </c>
      <c r="F52">
        <v>3.1538927787442602E-3</v>
      </c>
    </row>
    <row r="53" spans="1:6" x14ac:dyDescent="0.2">
      <c r="A53" t="s">
        <v>56</v>
      </c>
      <c r="B53" s="2" t="s">
        <v>390</v>
      </c>
      <c r="C53" t="s">
        <v>390</v>
      </c>
      <c r="D53">
        <v>5.2499201293192903E-2</v>
      </c>
      <c r="E53">
        <v>0.13360393055627801</v>
      </c>
      <c r="F53">
        <v>1.9558824596076999E-2</v>
      </c>
    </row>
    <row r="54" spans="1:6" x14ac:dyDescent="0.2">
      <c r="A54" t="s">
        <v>57</v>
      </c>
      <c r="B54" s="2" t="s">
        <v>391</v>
      </c>
      <c r="C54" t="s">
        <v>390</v>
      </c>
      <c r="D54">
        <v>2.58201428925376E-2</v>
      </c>
      <c r="E54">
        <v>0.105640168621917</v>
      </c>
      <c r="F54">
        <v>1.12233485445727E-2</v>
      </c>
    </row>
    <row r="55" spans="1:6" x14ac:dyDescent="0.2">
      <c r="A55" t="s">
        <v>58</v>
      </c>
      <c r="B55" s="2" t="s">
        <v>390</v>
      </c>
      <c r="C55" t="s">
        <v>390</v>
      </c>
      <c r="D55">
        <v>3.2758455423003298E-2</v>
      </c>
      <c r="E55">
        <v>0.103530683192239</v>
      </c>
      <c r="F55">
        <v>2.6777458733458898E-2</v>
      </c>
    </row>
    <row r="56" spans="1:6" x14ac:dyDescent="0.2">
      <c r="A56" t="s">
        <v>59</v>
      </c>
      <c r="B56" s="2" t="s">
        <v>391</v>
      </c>
      <c r="C56" t="s">
        <v>391</v>
      </c>
      <c r="D56">
        <v>1.8005489228268199E-2</v>
      </c>
      <c r="E56">
        <v>7.7880256619702604E-2</v>
      </c>
      <c r="F56">
        <v>7.7799562492014704E-3</v>
      </c>
    </row>
    <row r="57" spans="1:6" x14ac:dyDescent="0.2">
      <c r="A57" t="s">
        <v>6</v>
      </c>
      <c r="B57" s="2" t="s">
        <v>391</v>
      </c>
      <c r="C57" t="s">
        <v>390</v>
      </c>
      <c r="D57">
        <v>4.8173805718831004E-3</v>
      </c>
      <c r="E57">
        <v>5.4220979596814503E-2</v>
      </c>
      <c r="F57">
        <v>3.7077047993379301E-3</v>
      </c>
    </row>
    <row r="58" spans="1:6" x14ac:dyDescent="0.2">
      <c r="A58" t="s">
        <v>60</v>
      </c>
      <c r="B58" s="2" t="s">
        <v>391</v>
      </c>
      <c r="C58" t="s">
        <v>391</v>
      </c>
      <c r="D58">
        <v>2.8309506767597602E-2</v>
      </c>
      <c r="E58">
        <v>8.7486015010965396E-2</v>
      </c>
      <c r="F58">
        <v>1.04566267389256E-2</v>
      </c>
    </row>
    <row r="59" spans="1:6" x14ac:dyDescent="0.2">
      <c r="A59" t="s">
        <v>61</v>
      </c>
      <c r="B59" s="2" t="s">
        <v>391</v>
      </c>
      <c r="C59" t="s">
        <v>390</v>
      </c>
      <c r="D59">
        <v>1.8986587243558901E-2</v>
      </c>
      <c r="E59">
        <v>8.5292827043760802E-2</v>
      </c>
      <c r="F59">
        <v>9.6414076086491305E-3</v>
      </c>
    </row>
    <row r="60" spans="1:6" x14ac:dyDescent="0.2">
      <c r="A60" t="s">
        <v>62</v>
      </c>
      <c r="B60" s="2" t="s">
        <v>391</v>
      </c>
      <c r="C60" t="s">
        <v>391</v>
      </c>
      <c r="D60">
        <v>2.73781558932896E-2</v>
      </c>
      <c r="E60">
        <v>0.111102464994547</v>
      </c>
      <c r="F60">
        <v>1.1025518514515499E-2</v>
      </c>
    </row>
    <row r="61" spans="1:6" x14ac:dyDescent="0.2">
      <c r="A61" t="s">
        <v>63</v>
      </c>
      <c r="B61" s="2" t="s">
        <v>390</v>
      </c>
      <c r="C61" t="s">
        <v>390</v>
      </c>
      <c r="D61">
        <v>3.0118924537700199E-2</v>
      </c>
      <c r="E61">
        <v>0.116830054330199</v>
      </c>
      <c r="F61">
        <v>1.3261926297019701E-2</v>
      </c>
    </row>
    <row r="62" spans="1:6" x14ac:dyDescent="0.2">
      <c r="A62" t="s">
        <v>64</v>
      </c>
      <c r="B62" s="2" t="s">
        <v>390</v>
      </c>
      <c r="C62" t="s">
        <v>390</v>
      </c>
      <c r="D62">
        <v>2.20771710412574E-2</v>
      </c>
      <c r="E62">
        <v>0.117565479530318</v>
      </c>
      <c r="F62">
        <v>1.27232105441585E-2</v>
      </c>
    </row>
    <row r="63" spans="1:6" x14ac:dyDescent="0.2">
      <c r="A63" t="s">
        <v>65</v>
      </c>
      <c r="B63" s="2" t="s">
        <v>390</v>
      </c>
      <c r="C63" t="s">
        <v>391</v>
      </c>
      <c r="D63">
        <v>2.4202707823493E-2</v>
      </c>
      <c r="E63">
        <v>0.110904276670413</v>
      </c>
      <c r="F63">
        <v>1.17802659642561E-2</v>
      </c>
    </row>
    <row r="64" spans="1:6" x14ac:dyDescent="0.2">
      <c r="A64" t="s">
        <v>66</v>
      </c>
      <c r="B64" s="2" t="s">
        <v>391</v>
      </c>
      <c r="C64" t="s">
        <v>390</v>
      </c>
      <c r="D64">
        <v>5.5673284907054699E-2</v>
      </c>
      <c r="E64">
        <v>0.17566971978561699</v>
      </c>
      <c r="F64">
        <v>2.3893824877106899E-2</v>
      </c>
    </row>
    <row r="65" spans="1:6" x14ac:dyDescent="0.2">
      <c r="A65" t="s">
        <v>67</v>
      </c>
      <c r="B65" s="2" t="s">
        <v>391</v>
      </c>
      <c r="C65" t="s">
        <v>391</v>
      </c>
      <c r="D65">
        <v>2.7107906157657999E-2</v>
      </c>
      <c r="E65">
        <v>5.3801098105726503E-2</v>
      </c>
      <c r="F65">
        <v>7.1916113386281001E-3</v>
      </c>
    </row>
    <row r="66" spans="1:6" x14ac:dyDescent="0.2">
      <c r="A66" t="s">
        <v>68</v>
      </c>
      <c r="B66" s="2" t="s">
        <v>391</v>
      </c>
      <c r="C66" t="s">
        <v>391</v>
      </c>
      <c r="D66">
        <v>1.7183421139714501E-2</v>
      </c>
      <c r="E66">
        <v>6.5306972845752001E-2</v>
      </c>
      <c r="F66">
        <v>1.14783437124565E-2</v>
      </c>
    </row>
    <row r="67" spans="1:6" x14ac:dyDescent="0.2">
      <c r="A67" t="s">
        <v>69</v>
      </c>
      <c r="B67" s="2" t="s">
        <v>390</v>
      </c>
      <c r="C67" t="s">
        <v>390</v>
      </c>
      <c r="D67">
        <v>1.1218251828466501E-2</v>
      </c>
      <c r="E67">
        <v>4.6575455803196601E-2</v>
      </c>
      <c r="F67">
        <v>6.5743453020118197E-3</v>
      </c>
    </row>
    <row r="68" spans="1:6" x14ac:dyDescent="0.2">
      <c r="A68" t="s">
        <v>7</v>
      </c>
      <c r="B68" s="2" t="s">
        <v>390</v>
      </c>
      <c r="C68" t="s">
        <v>390</v>
      </c>
      <c r="D68">
        <v>4.1094206885955303E-2</v>
      </c>
      <c r="E68">
        <v>0.13999416961129299</v>
      </c>
      <c r="F68">
        <v>1.4644012102971799E-2</v>
      </c>
    </row>
    <row r="69" spans="1:6" x14ac:dyDescent="0.2">
      <c r="A69" t="s">
        <v>70</v>
      </c>
      <c r="B69" s="2" t="s">
        <v>391</v>
      </c>
      <c r="C69" t="s">
        <v>391</v>
      </c>
      <c r="D69">
        <v>4.4157879780295497E-3</v>
      </c>
      <c r="E69">
        <v>2.4159443325419701E-2</v>
      </c>
      <c r="F69">
        <v>2.2456640237943802E-3</v>
      </c>
    </row>
    <row r="70" spans="1:6" x14ac:dyDescent="0.2">
      <c r="A70" t="s">
        <v>71</v>
      </c>
      <c r="B70" s="2" t="s">
        <v>391</v>
      </c>
      <c r="C70" t="s">
        <v>391</v>
      </c>
      <c r="D70">
        <v>2.1493438327564101E-2</v>
      </c>
      <c r="E70">
        <v>7.3767788162551001E-2</v>
      </c>
      <c r="F70">
        <v>9.0926497308320801E-3</v>
      </c>
    </row>
    <row r="71" spans="1:6" x14ac:dyDescent="0.2">
      <c r="A71" t="s">
        <v>72</v>
      </c>
      <c r="B71" s="2" t="s">
        <v>390</v>
      </c>
      <c r="C71" t="s">
        <v>390</v>
      </c>
      <c r="D71">
        <v>1.8314264066304198E-2</v>
      </c>
      <c r="E71">
        <v>8.5537335024837194E-2</v>
      </c>
      <c r="F71">
        <v>9.8576823175665108E-3</v>
      </c>
    </row>
    <row r="72" spans="1:6" x14ac:dyDescent="0.2">
      <c r="A72" t="s">
        <v>73</v>
      </c>
      <c r="B72" s="2" t="s">
        <v>390</v>
      </c>
      <c r="C72" t="s">
        <v>390</v>
      </c>
      <c r="D72">
        <v>3.1532169227531399E-3</v>
      </c>
      <c r="E72">
        <v>4.7810908398677902E-2</v>
      </c>
      <c r="F72">
        <v>5.4003463548340097E-3</v>
      </c>
    </row>
    <row r="73" spans="1:6" x14ac:dyDescent="0.2">
      <c r="A73" t="s">
        <v>74</v>
      </c>
      <c r="B73" s="2" t="s">
        <v>390</v>
      </c>
      <c r="C73" t="s">
        <v>390</v>
      </c>
      <c r="D73">
        <v>2.1978937628127498E-2</v>
      </c>
      <c r="E73">
        <v>9.6658708950782199E-2</v>
      </c>
      <c r="F73">
        <v>1.34497682823245E-2</v>
      </c>
    </row>
    <row r="74" spans="1:6" x14ac:dyDescent="0.2">
      <c r="A74" t="s">
        <v>75</v>
      </c>
      <c r="B74" s="2" t="s">
        <v>390</v>
      </c>
      <c r="C74" t="s">
        <v>391</v>
      </c>
      <c r="D74">
        <v>2.92861679459833E-2</v>
      </c>
      <c r="E74">
        <v>8.1328418411614894E-2</v>
      </c>
      <c r="F74">
        <v>9.3205532797328693E-3</v>
      </c>
    </row>
    <row r="75" spans="1:6" x14ac:dyDescent="0.2">
      <c r="A75" t="s">
        <v>76</v>
      </c>
      <c r="B75" s="2" t="s">
        <v>391</v>
      </c>
      <c r="C75" t="s">
        <v>390</v>
      </c>
      <c r="D75">
        <v>2.40733027696702E-2</v>
      </c>
      <c r="E75">
        <v>0.112265487350204</v>
      </c>
      <c r="F75">
        <v>1.9843506210818099E-2</v>
      </c>
    </row>
    <row r="76" spans="1:6" x14ac:dyDescent="0.2">
      <c r="A76" t="s">
        <v>77</v>
      </c>
      <c r="B76" s="2" t="s">
        <v>390</v>
      </c>
      <c r="C76" t="s">
        <v>390</v>
      </c>
      <c r="D76">
        <v>4.0031697294622803E-2</v>
      </c>
      <c r="E76">
        <v>0.16361536923064099</v>
      </c>
      <c r="F76">
        <v>1.2372820392335801E-2</v>
      </c>
    </row>
    <row r="77" spans="1:6" x14ac:dyDescent="0.2">
      <c r="A77" t="s">
        <v>78</v>
      </c>
      <c r="B77" s="2" t="s">
        <v>390</v>
      </c>
      <c r="C77" t="s">
        <v>390</v>
      </c>
      <c r="D77">
        <v>1.25929809765448E-2</v>
      </c>
      <c r="E77">
        <v>8.0353274053232199E-2</v>
      </c>
      <c r="F77">
        <v>7.5832186926653999E-3</v>
      </c>
    </row>
    <row r="78" spans="1:6" x14ac:dyDescent="0.2">
      <c r="A78" t="s">
        <v>79</v>
      </c>
      <c r="B78" s="2" t="s">
        <v>390</v>
      </c>
      <c r="C78" t="s">
        <v>390</v>
      </c>
      <c r="D78">
        <v>3.3224053642178702E-2</v>
      </c>
      <c r="E78">
        <v>0.108861142593783</v>
      </c>
      <c r="F78">
        <v>8.4599598636238994E-3</v>
      </c>
    </row>
    <row r="79" spans="1:6" x14ac:dyDescent="0.2">
      <c r="A79" t="s">
        <v>8</v>
      </c>
      <c r="B79" s="2" t="s">
        <v>390</v>
      </c>
      <c r="C79" t="s">
        <v>390</v>
      </c>
      <c r="D79">
        <v>9.1943985113434792E-3</v>
      </c>
      <c r="E79">
        <v>4.61184902788239E-2</v>
      </c>
      <c r="F79">
        <v>2.0815733092306899E-3</v>
      </c>
    </row>
    <row r="80" spans="1:6" x14ac:dyDescent="0.2">
      <c r="A80" t="s">
        <v>80</v>
      </c>
      <c r="B80" s="2" t="s">
        <v>390</v>
      </c>
      <c r="C80" t="s">
        <v>390</v>
      </c>
      <c r="D80">
        <v>4.5904470136366102E-2</v>
      </c>
      <c r="E80">
        <v>0.20481925456782599</v>
      </c>
      <c r="F80">
        <v>2.02053662024319E-2</v>
      </c>
    </row>
    <row r="81" spans="1:6" x14ac:dyDescent="0.2">
      <c r="A81" t="s">
        <v>82</v>
      </c>
      <c r="B81" s="2" t="s">
        <v>390</v>
      </c>
      <c r="C81" t="s">
        <v>390</v>
      </c>
      <c r="D81">
        <v>4.5729861406580599E-2</v>
      </c>
      <c r="E81">
        <v>0.17266130204579599</v>
      </c>
      <c r="F81">
        <v>2.1459027588798901E-2</v>
      </c>
    </row>
    <row r="82" spans="1:6" x14ac:dyDescent="0.2">
      <c r="A82" t="s">
        <v>83</v>
      </c>
      <c r="B82" s="2" t="s">
        <v>391</v>
      </c>
      <c r="C82" t="s">
        <v>391</v>
      </c>
      <c r="D82">
        <v>2.94732516829125E-2</v>
      </c>
      <c r="E82">
        <v>0.10183372743961</v>
      </c>
      <c r="F82">
        <v>9.8556359807012404E-3</v>
      </c>
    </row>
    <row r="83" spans="1:6" x14ac:dyDescent="0.2">
      <c r="A83" t="s">
        <v>84</v>
      </c>
      <c r="B83" s="2" t="s">
        <v>391</v>
      </c>
      <c r="C83" t="s">
        <v>391</v>
      </c>
      <c r="D83">
        <v>2.1735861774758902E-2</v>
      </c>
      <c r="E83">
        <v>8.8919952131540594E-2</v>
      </c>
      <c r="F83">
        <v>1.02136933622701E-2</v>
      </c>
    </row>
    <row r="84" spans="1:6" x14ac:dyDescent="0.2">
      <c r="A84" t="s">
        <v>9</v>
      </c>
      <c r="B84" s="2" t="s">
        <v>390</v>
      </c>
      <c r="C84" t="s">
        <v>390</v>
      </c>
      <c r="D84">
        <v>7.5677385698142896E-3</v>
      </c>
      <c r="E84">
        <v>3.4765136407490599E-2</v>
      </c>
      <c r="F84">
        <v>3.4952731391395099E-3</v>
      </c>
    </row>
    <row r="85" spans="1:6" x14ac:dyDescent="0.2">
      <c r="D85">
        <f>AVERAGE(D2:D84)</f>
        <v>2.5371657083672131E-2</v>
      </c>
      <c r="E85">
        <f>AVERAGE(E2:E84)</f>
        <v>8.5868758687358604E-2</v>
      </c>
      <c r="F85">
        <f>AVERAGE(F2:F84)</f>
        <v>1.4342552323192868E-2</v>
      </c>
    </row>
  </sheetData>
  <sortState xmlns:xlrd2="http://schemas.microsoft.com/office/spreadsheetml/2017/richdata2" ref="A2:F85">
    <sortCondition ref="A1:A85"/>
  </sortState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AE90A-08CE-4FA4-85F8-C2E8B9F1EBED}">
  <dimension ref="A1:AD84"/>
  <sheetViews>
    <sheetView workbookViewId="0">
      <selection activeCell="P52" sqref="P52"/>
    </sheetView>
  </sheetViews>
  <sheetFormatPr defaultRowHeight="14.25" x14ac:dyDescent="0.2"/>
  <cols>
    <col min="1" max="1" width="12.625" customWidth="1"/>
    <col min="2" max="2" width="13.75" style="2" bestFit="1" customWidth="1"/>
  </cols>
  <sheetData>
    <row r="1" spans="1:30" ht="15.75" x14ac:dyDescent="0.25">
      <c r="A1" s="15" t="s">
        <v>398</v>
      </c>
      <c r="B1" s="14" t="s">
        <v>397</v>
      </c>
      <c r="C1" s="1" t="s">
        <v>420</v>
      </c>
      <c r="D1" s="1" t="s">
        <v>360</v>
      </c>
      <c r="E1" s="1" t="s">
        <v>361</v>
      </c>
      <c r="F1" s="1" t="s">
        <v>362</v>
      </c>
      <c r="G1" s="1" t="s">
        <v>363</v>
      </c>
      <c r="H1" s="1" t="s">
        <v>364</v>
      </c>
      <c r="I1" s="1" t="s">
        <v>187</v>
      </c>
      <c r="J1" s="1" t="s">
        <v>254</v>
      </c>
      <c r="K1" s="1" t="s">
        <v>365</v>
      </c>
      <c r="L1" s="1" t="s">
        <v>366</v>
      </c>
      <c r="M1" s="1" t="s">
        <v>367</v>
      </c>
      <c r="N1" s="1" t="s">
        <v>392</v>
      </c>
      <c r="O1" s="1" t="s">
        <v>358</v>
      </c>
      <c r="P1" s="1"/>
      <c r="Q1" s="1" t="s">
        <v>393</v>
      </c>
      <c r="R1" s="1" t="s">
        <v>360</v>
      </c>
      <c r="S1" s="1" t="s">
        <v>361</v>
      </c>
      <c r="T1" s="1" t="s">
        <v>362</v>
      </c>
      <c r="U1" s="1" t="s">
        <v>363</v>
      </c>
      <c r="V1" s="1" t="s">
        <v>364</v>
      </c>
      <c r="W1" s="1" t="s">
        <v>187</v>
      </c>
      <c r="X1" s="1" t="s">
        <v>254</v>
      </c>
      <c r="Y1" s="1" t="s">
        <v>365</v>
      </c>
      <c r="Z1" s="1" t="s">
        <v>366</v>
      </c>
      <c r="AA1" s="1" t="s">
        <v>367</v>
      </c>
      <c r="AB1" s="1" t="s">
        <v>392</v>
      </c>
      <c r="AC1" s="1" t="s">
        <v>358</v>
      </c>
      <c r="AD1" s="1" t="s">
        <v>396</v>
      </c>
    </row>
    <row r="2" spans="1:30" x14ac:dyDescent="0.2">
      <c r="A2" t="s">
        <v>1</v>
      </c>
      <c r="B2" s="2" t="s">
        <v>390</v>
      </c>
      <c r="C2" t="s">
        <v>390</v>
      </c>
      <c r="D2">
        <v>6.1586454833938299E-2</v>
      </c>
      <c r="E2">
        <v>2.60715461441114E-3</v>
      </c>
      <c r="F2">
        <v>2.8632895572654E-5</v>
      </c>
      <c r="G2">
        <v>1.0561647434214E-2</v>
      </c>
      <c r="H2">
        <v>3.8843333205507098E-4</v>
      </c>
      <c r="I2">
        <v>5.0613781242337501E-3</v>
      </c>
      <c r="J2">
        <v>1.05594920434465E-2</v>
      </c>
      <c r="K2">
        <v>1.25755085321296E-2</v>
      </c>
      <c r="L2">
        <v>1.33447692051612E-2</v>
      </c>
      <c r="M2">
        <v>3.0141874443542502E-3</v>
      </c>
      <c r="N2">
        <f t="shared" ref="N2:N33" si="0">SUM(D2:M2)</f>
        <v>0.11972765845951648</v>
      </c>
      <c r="O2">
        <v>1.6717046814368301E-2</v>
      </c>
      <c r="Q2" s="5" t="s">
        <v>394</v>
      </c>
      <c r="R2">
        <v>7.0125208642593473E-2</v>
      </c>
      <c r="S2">
        <v>5.0841337019046822E-3</v>
      </c>
      <c r="T2">
        <v>1.0546017797766201E-4</v>
      </c>
      <c r="U2">
        <v>1.3892037909843209E-2</v>
      </c>
      <c r="V2">
        <v>1.0728374769228032E-3</v>
      </c>
      <c r="W2">
        <v>8.4140487274483294E-3</v>
      </c>
      <c r="X2">
        <v>8.1889312850016924E-3</v>
      </c>
      <c r="Y2">
        <v>1.5333641414965334E-3</v>
      </c>
      <c r="Z2">
        <v>2.5280181953694749E-3</v>
      </c>
      <c r="AA2">
        <v>3.3629347891741138E-3</v>
      </c>
      <c r="AB2">
        <v>0.11430697504773195</v>
      </c>
      <c r="AC2">
        <v>2.3249536776824217E-2</v>
      </c>
      <c r="AD2" s="5" t="s">
        <v>397</v>
      </c>
    </row>
    <row r="3" spans="1:30" x14ac:dyDescent="0.2">
      <c r="A3" t="s">
        <v>10</v>
      </c>
      <c r="B3" s="2" t="s">
        <v>391</v>
      </c>
      <c r="C3" t="s">
        <v>390</v>
      </c>
      <c r="D3">
        <v>1.6592440768402401E-2</v>
      </c>
      <c r="E3">
        <v>1.0503124570043999E-3</v>
      </c>
      <c r="F3">
        <v>0</v>
      </c>
      <c r="G3">
        <v>2.83564914897288E-3</v>
      </c>
      <c r="H3">
        <v>2.02209645738768E-4</v>
      </c>
      <c r="I3">
        <v>1.92974136565252E-3</v>
      </c>
      <c r="J3">
        <v>1.2103791344164E-3</v>
      </c>
      <c r="K3">
        <v>3.4890463294100498E-4</v>
      </c>
      <c r="L3">
        <v>6.0483929707440703E-5</v>
      </c>
      <c r="M3">
        <v>2.10218408572143E-4</v>
      </c>
      <c r="N3">
        <f t="shared" si="0"/>
        <v>2.4440339491407954E-2</v>
      </c>
      <c r="O3">
        <v>2.5841401739905802E-3</v>
      </c>
      <c r="Q3" s="5" t="s">
        <v>395</v>
      </c>
      <c r="R3">
        <v>8.518772348164913E-2</v>
      </c>
      <c r="S3">
        <v>4.5483059810972424E-3</v>
      </c>
      <c r="T3">
        <v>7.5326918163927988E-5</v>
      </c>
      <c r="U3">
        <v>1.6645067384813403E-2</v>
      </c>
      <c r="V3">
        <v>1.1054349499322899E-3</v>
      </c>
      <c r="W3">
        <v>9.7098180355881109E-3</v>
      </c>
      <c r="X3">
        <v>9.0333467703939234E-3</v>
      </c>
      <c r="Y3">
        <v>1.7722586531173543E-3</v>
      </c>
      <c r="Z3">
        <v>5.0810114988419815E-3</v>
      </c>
      <c r="AA3">
        <v>4.2740882893780767E-3</v>
      </c>
      <c r="AB3">
        <v>0.13743238196297544</v>
      </c>
      <c r="AC3">
        <v>2.4082491733577963E-2</v>
      </c>
      <c r="AD3" s="5" t="s">
        <v>397</v>
      </c>
    </row>
    <row r="4" spans="1:30" ht="15.75" x14ac:dyDescent="0.25">
      <c r="A4" t="s">
        <v>11</v>
      </c>
      <c r="B4" s="2" t="s">
        <v>391</v>
      </c>
      <c r="C4" t="s">
        <v>390</v>
      </c>
      <c r="D4">
        <v>3.3080470696779399E-2</v>
      </c>
      <c r="E4">
        <v>1.2145535580064301E-3</v>
      </c>
      <c r="F4">
        <v>0</v>
      </c>
      <c r="G4">
        <v>4.8184607238831402E-3</v>
      </c>
      <c r="H4">
        <v>1.9652768572786899E-4</v>
      </c>
      <c r="I4">
        <v>1.40329476083323E-3</v>
      </c>
      <c r="J4">
        <v>8.9789212393477397E-4</v>
      </c>
      <c r="K4">
        <v>8.2553023012847698E-5</v>
      </c>
      <c r="L4">
        <v>1.4528072551552899E-4</v>
      </c>
      <c r="M4">
        <v>8.5745208471279004E-4</v>
      </c>
      <c r="N4">
        <f t="shared" si="0"/>
        <v>4.2696485382406009E-2</v>
      </c>
      <c r="O4">
        <v>5.1698978251572799E-3</v>
      </c>
      <c r="Q4" s="5" t="s">
        <v>394</v>
      </c>
      <c r="R4">
        <v>7.0215570431902019E-2</v>
      </c>
      <c r="S4">
        <v>4.8878580605345064E-3</v>
      </c>
      <c r="T4">
        <v>7.8101904289737143E-5</v>
      </c>
      <c r="U4">
        <v>1.4410050016233798E-2</v>
      </c>
      <c r="V4">
        <v>1.0346905375604846E-3</v>
      </c>
      <c r="W4">
        <v>9.5930515121260742E-3</v>
      </c>
      <c r="X4">
        <v>8.4007224555019775E-3</v>
      </c>
      <c r="Y4">
        <v>1.8077601804013309E-3</v>
      </c>
      <c r="Z4">
        <v>4.8332694355927054E-3</v>
      </c>
      <c r="AA4">
        <v>4.1177017104783468E-3</v>
      </c>
      <c r="AB4">
        <v>0.11937877624462097</v>
      </c>
      <c r="AC4">
        <v>2.6828119533824E-2</v>
      </c>
      <c r="AD4" s="1" t="s">
        <v>399</v>
      </c>
    </row>
    <row r="5" spans="1:30" ht="15.75" x14ac:dyDescent="0.25">
      <c r="A5" t="s">
        <v>12</v>
      </c>
      <c r="B5" s="2" t="s">
        <v>390</v>
      </c>
      <c r="C5" t="s">
        <v>391</v>
      </c>
      <c r="D5">
        <v>5.4732399025369E-2</v>
      </c>
      <c r="E5">
        <v>1.18368250069437E-3</v>
      </c>
      <c r="F5">
        <v>0</v>
      </c>
      <c r="G5">
        <v>5.5641439825786596E-3</v>
      </c>
      <c r="H5">
        <v>4.0308440836747097E-4</v>
      </c>
      <c r="I5">
        <v>5.4372587572361197E-3</v>
      </c>
      <c r="J5">
        <v>3.1843314357545699E-3</v>
      </c>
      <c r="K5">
        <v>4.7799499648325098E-4</v>
      </c>
      <c r="L5">
        <v>1.5980606410198499E-3</v>
      </c>
      <c r="M5">
        <v>1.3946747580589299E-3</v>
      </c>
      <c r="N5">
        <f t="shared" si="0"/>
        <v>7.3975630505562218E-2</v>
      </c>
      <c r="O5">
        <v>9.3484893415629999E-3</v>
      </c>
      <c r="Q5" s="5" t="s">
        <v>395</v>
      </c>
      <c r="R5">
        <v>8.217759160618969E-2</v>
      </c>
      <c r="S5">
        <v>4.7765235836839089E-3</v>
      </c>
      <c r="T5">
        <v>9.8401376127671837E-5</v>
      </c>
      <c r="U5">
        <v>1.5780230479829072E-2</v>
      </c>
      <c r="V5">
        <v>1.1229786230597279E-3</v>
      </c>
      <c r="W5">
        <v>8.7159791690962357E-3</v>
      </c>
      <c r="X5">
        <v>8.7348865290227187E-3</v>
      </c>
      <c r="Y5">
        <v>1.5532465283886925E-3</v>
      </c>
      <c r="Z5">
        <v>3.133992425864169E-3</v>
      </c>
      <c r="AA5">
        <v>3.6218514955785644E-3</v>
      </c>
      <c r="AB5">
        <v>0.12971568181684046</v>
      </c>
      <c r="AC5">
        <v>2.1673781972959716E-2</v>
      </c>
      <c r="AD5" s="1" t="s">
        <v>399</v>
      </c>
    </row>
    <row r="6" spans="1:30" x14ac:dyDescent="0.2">
      <c r="A6" t="s">
        <v>13</v>
      </c>
      <c r="B6" s="2" t="s">
        <v>391</v>
      </c>
      <c r="C6" t="s">
        <v>390</v>
      </c>
      <c r="D6">
        <v>4.45028642494451E-2</v>
      </c>
      <c r="E6">
        <v>4.5717092637238501E-4</v>
      </c>
      <c r="F6">
        <v>5.8728090406077701E-4</v>
      </c>
      <c r="G6">
        <v>3.8381681743841398E-3</v>
      </c>
      <c r="H6">
        <v>3.0553853954261301E-4</v>
      </c>
      <c r="I6">
        <v>3.67573510757276E-3</v>
      </c>
      <c r="J6">
        <v>1.8725359072828102E-2</v>
      </c>
      <c r="K6">
        <v>1.2102102385613499E-2</v>
      </c>
      <c r="L6">
        <v>1.9089971199869601E-2</v>
      </c>
      <c r="M6">
        <v>2.8783875041889701E-3</v>
      </c>
      <c r="N6">
        <f t="shared" si="0"/>
        <v>0.10616257806387797</v>
      </c>
      <c r="O6">
        <v>4.7081895282279802E-2</v>
      </c>
    </row>
    <row r="7" spans="1:30" x14ac:dyDescent="0.2">
      <c r="A7" t="s">
        <v>14</v>
      </c>
      <c r="B7" s="2" t="s">
        <v>390</v>
      </c>
      <c r="C7" t="s">
        <v>390</v>
      </c>
      <c r="D7">
        <v>5.9990451212435798E-2</v>
      </c>
      <c r="E7">
        <v>1.04279518586767E-3</v>
      </c>
      <c r="F7">
        <v>9.3032780275744E-5</v>
      </c>
      <c r="G7">
        <v>7.6621617267102898E-3</v>
      </c>
      <c r="H7">
        <v>4.5336783856475901E-4</v>
      </c>
      <c r="I7">
        <v>3.0419444159348898E-3</v>
      </c>
      <c r="J7">
        <v>4.9153060591902399E-3</v>
      </c>
      <c r="K7">
        <v>7.9880382200335097E-4</v>
      </c>
      <c r="L7">
        <v>2.96677765938121E-4</v>
      </c>
      <c r="M7">
        <v>2.27507133897142E-3</v>
      </c>
      <c r="N7">
        <f t="shared" si="0"/>
        <v>8.0569612145892297E-2</v>
      </c>
      <c r="O7">
        <v>8.5849365470114306E-3</v>
      </c>
      <c r="T7" s="5"/>
      <c r="U7" s="5"/>
    </row>
    <row r="8" spans="1:30" x14ac:dyDescent="0.2">
      <c r="A8" t="s">
        <v>15</v>
      </c>
      <c r="B8" s="2" t="s">
        <v>391</v>
      </c>
      <c r="C8" t="s">
        <v>390</v>
      </c>
      <c r="D8">
        <v>5.2389179470311603E-2</v>
      </c>
      <c r="E8">
        <v>1.98410943710268E-3</v>
      </c>
      <c r="F8">
        <v>4.15795370539166E-5</v>
      </c>
      <c r="G8">
        <v>6.7029485223219004E-3</v>
      </c>
      <c r="H8">
        <v>1.7213977853810001E-4</v>
      </c>
      <c r="I8">
        <v>2.8004317662755299E-3</v>
      </c>
      <c r="J8">
        <v>3.9235318538837303E-3</v>
      </c>
      <c r="K8">
        <v>1.0789915558826601E-3</v>
      </c>
      <c r="L8">
        <v>2.1072801854968301E-3</v>
      </c>
      <c r="M8">
        <v>3.28039294414125E-3</v>
      </c>
      <c r="N8">
        <f t="shared" si="0"/>
        <v>7.44805850510082E-2</v>
      </c>
      <c r="O8">
        <v>1.2453283913496E-2</v>
      </c>
      <c r="T8" s="5"/>
    </row>
    <row r="9" spans="1:30" x14ac:dyDescent="0.2">
      <c r="A9" t="s">
        <v>16</v>
      </c>
      <c r="B9" s="2" t="s">
        <v>391</v>
      </c>
      <c r="C9" t="s">
        <v>391</v>
      </c>
      <c r="D9">
        <v>5.9997933649362498E-2</v>
      </c>
      <c r="E9">
        <v>2.0120078382374002E-3</v>
      </c>
      <c r="F9">
        <v>1.0976516575118399E-4</v>
      </c>
      <c r="G9">
        <v>4.7388350330367299E-3</v>
      </c>
      <c r="H9">
        <v>3.5327104961741798E-4</v>
      </c>
      <c r="I9">
        <v>2.4165004373173302E-3</v>
      </c>
      <c r="J9">
        <v>5.8553698191759797E-3</v>
      </c>
      <c r="K9">
        <v>2.3099073967230098E-3</v>
      </c>
      <c r="L9">
        <v>8.0740125066837802E-3</v>
      </c>
      <c r="M9">
        <v>9.4329753549389104E-4</v>
      </c>
      <c r="N9">
        <f t="shared" si="0"/>
        <v>8.6810900431399218E-2</v>
      </c>
      <c r="O9">
        <v>1.1469788234193101E-2</v>
      </c>
      <c r="T9" s="5"/>
    </row>
    <row r="10" spans="1:30" x14ac:dyDescent="0.2">
      <c r="A10" t="s">
        <v>17</v>
      </c>
      <c r="B10" s="2" t="s">
        <v>390</v>
      </c>
      <c r="C10" t="s">
        <v>391</v>
      </c>
      <c r="D10">
        <v>9.5288225263380197E-2</v>
      </c>
      <c r="E10">
        <v>3.5768275786223699E-3</v>
      </c>
      <c r="F10">
        <v>7.3139502178219099E-5</v>
      </c>
      <c r="G10">
        <v>1.4906550779921099E-2</v>
      </c>
      <c r="H10">
        <v>5.9578199353024102E-4</v>
      </c>
      <c r="I10">
        <v>6.7547888984680598E-3</v>
      </c>
      <c r="J10">
        <v>7.8835097267464394E-3</v>
      </c>
      <c r="K10">
        <v>2.0319935141196702E-3</v>
      </c>
      <c r="L10">
        <v>4.0637124625738999E-3</v>
      </c>
      <c r="M10">
        <v>3.0360764483399701E-3</v>
      </c>
      <c r="N10">
        <f t="shared" si="0"/>
        <v>0.13821060616788017</v>
      </c>
      <c r="O10">
        <v>1.3616473727412599E-2</v>
      </c>
      <c r="T10" s="5"/>
    </row>
    <row r="11" spans="1:30" x14ac:dyDescent="0.2">
      <c r="A11" t="s">
        <v>18</v>
      </c>
      <c r="B11" s="2" t="s">
        <v>391</v>
      </c>
      <c r="C11" t="s">
        <v>390</v>
      </c>
      <c r="D11">
        <v>6.3485153267830205E-2</v>
      </c>
      <c r="E11">
        <v>2.3721832731285002E-3</v>
      </c>
      <c r="F11">
        <v>6.2264979211032001E-4</v>
      </c>
      <c r="G11">
        <v>7.1229233337362198E-3</v>
      </c>
      <c r="H11">
        <v>1.6671616814060701E-4</v>
      </c>
      <c r="I11">
        <v>7.7941413155706504E-3</v>
      </c>
      <c r="J11">
        <v>2.1197471285820502E-2</v>
      </c>
      <c r="K11">
        <v>4.6036795745661102E-3</v>
      </c>
      <c r="L11">
        <v>3.1601179902344602E-2</v>
      </c>
      <c r="M11">
        <v>6.0646698931617303E-3</v>
      </c>
      <c r="N11">
        <f t="shared" si="0"/>
        <v>0.14503076780640947</v>
      </c>
      <c r="O11">
        <v>5.9771524853465097E-2</v>
      </c>
      <c r="T11" s="5"/>
    </row>
    <row r="12" spans="1:30" x14ac:dyDescent="0.2">
      <c r="A12" t="s">
        <v>19</v>
      </c>
      <c r="B12" s="2" t="s">
        <v>391</v>
      </c>
      <c r="C12" t="s">
        <v>390</v>
      </c>
      <c r="D12">
        <v>3.82407876432167E-2</v>
      </c>
      <c r="E12">
        <v>7.5557422143535796E-4</v>
      </c>
      <c r="F12">
        <v>3.7019574413258999E-4</v>
      </c>
      <c r="G12">
        <v>1.32569792297586E-2</v>
      </c>
      <c r="H12">
        <v>1.92427103481126E-3</v>
      </c>
      <c r="I12">
        <v>6.1338845902305398E-3</v>
      </c>
      <c r="J12">
        <v>7.1944422434154498E-3</v>
      </c>
      <c r="K12">
        <v>3.5250477152300299E-4</v>
      </c>
      <c r="L12">
        <v>1.03201380213724E-2</v>
      </c>
      <c r="M12">
        <v>3.2278830032018502E-3</v>
      </c>
      <c r="N12">
        <f t="shared" si="0"/>
        <v>8.1776660503097745E-2</v>
      </c>
      <c r="O12">
        <v>1.9245712063304301E-2</v>
      </c>
      <c r="T12" s="5"/>
    </row>
    <row r="13" spans="1:30" x14ac:dyDescent="0.2">
      <c r="A13" t="s">
        <v>2</v>
      </c>
      <c r="B13" s="2" t="s">
        <v>390</v>
      </c>
      <c r="C13" t="s">
        <v>390</v>
      </c>
      <c r="D13">
        <v>5.9786880559825097E-2</v>
      </c>
      <c r="E13">
        <v>1.72094933577853E-3</v>
      </c>
      <c r="F13">
        <v>1.23317387000964E-4</v>
      </c>
      <c r="G13">
        <v>8.1267590938286696E-3</v>
      </c>
      <c r="H13">
        <v>6.9540267669628301E-4</v>
      </c>
      <c r="I13">
        <v>7.22196108832668E-3</v>
      </c>
      <c r="J13">
        <v>7.9673778727603391E-3</v>
      </c>
      <c r="K13">
        <v>2.0284997048922201E-3</v>
      </c>
      <c r="L13">
        <v>2.2403478890913601E-2</v>
      </c>
      <c r="M13">
        <v>5.4148150122103698E-3</v>
      </c>
      <c r="N13">
        <f t="shared" si="0"/>
        <v>0.11548944162223274</v>
      </c>
      <c r="O13">
        <v>3.9459936751677901E-2</v>
      </c>
    </row>
    <row r="14" spans="1:30" x14ac:dyDescent="0.2">
      <c r="A14" t="s">
        <v>20</v>
      </c>
      <c r="B14" s="2" t="s">
        <v>391</v>
      </c>
      <c r="C14" t="s">
        <v>391</v>
      </c>
      <c r="D14">
        <v>1.02460569758924E-2</v>
      </c>
      <c r="E14">
        <v>1.3041262677813701E-3</v>
      </c>
      <c r="F14">
        <v>0</v>
      </c>
      <c r="G14">
        <v>2.3204037638201698E-3</v>
      </c>
      <c r="H14">
        <v>7.1799588834276296E-5</v>
      </c>
      <c r="I14">
        <v>3.5312456396518902E-3</v>
      </c>
      <c r="J14">
        <v>6.0023680465017904E-4</v>
      </c>
      <c r="K14">
        <v>2.9408713147209098E-4</v>
      </c>
      <c r="L14">
        <v>3.3414326264371501E-4</v>
      </c>
      <c r="M14">
        <v>1.1649737387704E-3</v>
      </c>
      <c r="N14">
        <f t="shared" si="0"/>
        <v>1.9867073173516492E-2</v>
      </c>
      <c r="O14">
        <v>6.9270046412725998E-3</v>
      </c>
    </row>
    <row r="15" spans="1:30" x14ac:dyDescent="0.2">
      <c r="A15" t="s">
        <v>21</v>
      </c>
      <c r="B15" s="2" t="s">
        <v>390</v>
      </c>
      <c r="C15" t="s">
        <v>390</v>
      </c>
      <c r="D15">
        <v>4.8165707334317097E-2</v>
      </c>
      <c r="E15">
        <v>3.8274734100364901E-3</v>
      </c>
      <c r="F15">
        <v>0</v>
      </c>
      <c r="G15">
        <v>1.36095448257267E-2</v>
      </c>
      <c r="H15">
        <v>2.95902071421353E-3</v>
      </c>
      <c r="I15">
        <v>4.3290515594797798E-3</v>
      </c>
      <c r="J15">
        <v>5.5729450372467302E-3</v>
      </c>
      <c r="K15">
        <v>6.5469686853448204E-4</v>
      </c>
      <c r="L15">
        <v>3.2049022630872701E-4</v>
      </c>
      <c r="M15">
        <v>2.0477383045431501E-3</v>
      </c>
      <c r="N15">
        <f t="shared" si="0"/>
        <v>8.1486668280406682E-2</v>
      </c>
      <c r="O15">
        <v>1.2474380070777899E-2</v>
      </c>
    </row>
    <row r="16" spans="1:30" x14ac:dyDescent="0.2">
      <c r="A16" t="s">
        <v>22</v>
      </c>
      <c r="B16" s="2" t="s">
        <v>391</v>
      </c>
      <c r="C16" t="s">
        <v>391</v>
      </c>
      <c r="D16">
        <v>4.6427416430119703E-2</v>
      </c>
      <c r="E16">
        <v>2.8912426327090202E-3</v>
      </c>
      <c r="F16">
        <v>3.2236228249218199E-5</v>
      </c>
      <c r="G16">
        <v>6.64067845117101E-3</v>
      </c>
      <c r="H16">
        <v>3.7679423877029001E-4</v>
      </c>
      <c r="I16">
        <v>4.8291005730220398E-3</v>
      </c>
      <c r="J16">
        <v>5.1423596869564396E-3</v>
      </c>
      <c r="K16">
        <v>1.063925150639E-3</v>
      </c>
      <c r="L16">
        <v>6.7676454095595695E-4</v>
      </c>
      <c r="M16">
        <v>3.1725453714368801E-3</v>
      </c>
      <c r="N16">
        <f t="shared" si="0"/>
        <v>7.1253063304029543E-2</v>
      </c>
      <c r="O16">
        <v>1.42653235600917E-2</v>
      </c>
    </row>
    <row r="17" spans="1:15" x14ac:dyDescent="0.2">
      <c r="A17" t="s">
        <v>23</v>
      </c>
      <c r="B17" s="2" t="s">
        <v>391</v>
      </c>
      <c r="C17" t="s">
        <v>390</v>
      </c>
      <c r="D17">
        <v>0.101519863394421</v>
      </c>
      <c r="E17">
        <v>6.4267287266594596E-3</v>
      </c>
      <c r="F17">
        <v>1.9815079300743399E-4</v>
      </c>
      <c r="G17">
        <v>2.98409260419993E-2</v>
      </c>
      <c r="H17">
        <v>1.6703096071830801E-3</v>
      </c>
      <c r="I17">
        <v>6.0167263345646399E-3</v>
      </c>
      <c r="J17">
        <v>1.4232259457670199E-2</v>
      </c>
      <c r="K17">
        <v>3.3885014666277602E-4</v>
      </c>
      <c r="L17">
        <v>5.3092234018830998E-3</v>
      </c>
      <c r="M17">
        <v>7.7866290466317104E-4</v>
      </c>
      <c r="N17">
        <f t="shared" si="0"/>
        <v>0.16633170080871415</v>
      </c>
      <c r="O17">
        <v>3.0793144703126701E-2</v>
      </c>
    </row>
    <row r="18" spans="1:15" x14ac:dyDescent="0.2">
      <c r="A18" t="s">
        <v>24</v>
      </c>
      <c r="B18" s="2" t="s">
        <v>390</v>
      </c>
      <c r="C18" t="s">
        <v>390</v>
      </c>
      <c r="D18">
        <v>4.8837321266845098E-2</v>
      </c>
      <c r="E18">
        <v>3.1138095043912102E-3</v>
      </c>
      <c r="F18">
        <v>2.8204733465401902E-4</v>
      </c>
      <c r="G18">
        <v>2.4322428386664399E-3</v>
      </c>
      <c r="H18">
        <v>1.9360453819713901E-4</v>
      </c>
      <c r="I18">
        <v>3.80779444873033E-3</v>
      </c>
      <c r="J18">
        <v>7.6918369192227297E-3</v>
      </c>
      <c r="K18">
        <v>2.1736599001411301E-3</v>
      </c>
      <c r="L18">
        <v>7.2671958815914896E-3</v>
      </c>
      <c r="M18">
        <v>2.33283330560942E-3</v>
      </c>
      <c r="N18">
        <f t="shared" si="0"/>
        <v>7.8132345938049005E-2</v>
      </c>
      <c r="O18">
        <v>2.4260748855747302E-2</v>
      </c>
    </row>
    <row r="19" spans="1:15" x14ac:dyDescent="0.2">
      <c r="A19" t="s">
        <v>25</v>
      </c>
      <c r="B19" s="2" t="s">
        <v>390</v>
      </c>
      <c r="C19" t="s">
        <v>390</v>
      </c>
      <c r="D19">
        <v>0.119847296919829</v>
      </c>
      <c r="E19">
        <v>6.8530011006739701E-3</v>
      </c>
      <c r="F19">
        <v>9.8123944916182296E-5</v>
      </c>
      <c r="G19">
        <v>2.7647929732884002E-2</v>
      </c>
      <c r="H19">
        <v>2.32204794988856E-3</v>
      </c>
      <c r="I19">
        <v>1.1323236533281799E-2</v>
      </c>
      <c r="J19">
        <v>1.2560560448940499E-2</v>
      </c>
      <c r="K19">
        <v>1.4524882227508001E-3</v>
      </c>
      <c r="L19">
        <v>2.61100077060694E-5</v>
      </c>
      <c r="M19">
        <v>4.4516950709483196E-3</v>
      </c>
      <c r="N19">
        <f t="shared" si="0"/>
        <v>0.18658248993181917</v>
      </c>
      <c r="O19">
        <v>3.7702398994885998E-2</v>
      </c>
    </row>
    <row r="20" spans="1:15" x14ac:dyDescent="0.2">
      <c r="A20" t="s">
        <v>26</v>
      </c>
      <c r="B20" s="2" t="s">
        <v>390</v>
      </c>
      <c r="C20" t="s">
        <v>390</v>
      </c>
      <c r="D20">
        <v>8.6266185386967995E-2</v>
      </c>
      <c r="E20">
        <v>4.5812429720503301E-3</v>
      </c>
      <c r="F20">
        <v>5.6347934357614101E-5</v>
      </c>
      <c r="G20">
        <v>1.07025678092488E-2</v>
      </c>
      <c r="H20">
        <v>8.9747721716434796E-4</v>
      </c>
      <c r="I20">
        <v>1.03057146134206E-2</v>
      </c>
      <c r="J20">
        <v>3.7417434077264898E-3</v>
      </c>
      <c r="K20">
        <v>1.0210998391210499E-3</v>
      </c>
      <c r="L20">
        <v>1.5388792804990899E-4</v>
      </c>
      <c r="M20">
        <v>3.6800749831855401E-3</v>
      </c>
      <c r="N20">
        <f t="shared" si="0"/>
        <v>0.12140634209129267</v>
      </c>
      <c r="O20">
        <v>1.8634354256008099E-2</v>
      </c>
    </row>
    <row r="21" spans="1:15" x14ac:dyDescent="0.2">
      <c r="A21" t="s">
        <v>27</v>
      </c>
      <c r="B21" s="2" t="s">
        <v>391</v>
      </c>
      <c r="C21" t="s">
        <v>390</v>
      </c>
      <c r="D21">
        <v>7.88201365741827E-2</v>
      </c>
      <c r="E21">
        <v>5.0417796801904002E-3</v>
      </c>
      <c r="F21">
        <v>6.6930026756062996E-4</v>
      </c>
      <c r="G21">
        <v>2.8163529849334099E-2</v>
      </c>
      <c r="H21">
        <v>1.51464109340218E-3</v>
      </c>
      <c r="I21">
        <v>9.9454503684926303E-3</v>
      </c>
      <c r="J21">
        <v>2.8525540479175202E-2</v>
      </c>
      <c r="K21">
        <v>6.8845736570091699E-4</v>
      </c>
      <c r="L21">
        <v>1.44786558695747E-2</v>
      </c>
      <c r="M21">
        <v>1.63716621582451E-2</v>
      </c>
      <c r="N21">
        <f t="shared" si="0"/>
        <v>0.18421915370585853</v>
      </c>
      <c r="O21">
        <v>6.4480235856314294E-2</v>
      </c>
    </row>
    <row r="22" spans="1:15" x14ac:dyDescent="0.2">
      <c r="A22" t="s">
        <v>28</v>
      </c>
      <c r="B22" s="2" t="s">
        <v>391</v>
      </c>
      <c r="C22" t="s">
        <v>391</v>
      </c>
      <c r="D22">
        <v>0.121398250229463</v>
      </c>
      <c r="E22">
        <v>1.27562371943622E-2</v>
      </c>
      <c r="F22">
        <v>1.6515928725172201E-4</v>
      </c>
      <c r="G22">
        <v>1.6613605599332899E-2</v>
      </c>
      <c r="H22">
        <v>1.90987623109267E-3</v>
      </c>
      <c r="I22">
        <v>2.4416159401209399E-2</v>
      </c>
      <c r="J22">
        <v>5.6086466116918804E-3</v>
      </c>
      <c r="K22">
        <v>1.6334133982096599E-3</v>
      </c>
      <c r="L22">
        <v>0</v>
      </c>
      <c r="M22">
        <v>4.7930547601386497E-3</v>
      </c>
      <c r="N22">
        <f t="shared" si="0"/>
        <v>0.18929440271275208</v>
      </c>
      <c r="O22">
        <v>5.8287210068331603E-2</v>
      </c>
    </row>
    <row r="23" spans="1:15" x14ac:dyDescent="0.2">
      <c r="A23" t="s">
        <v>29</v>
      </c>
      <c r="B23" s="2" t="s">
        <v>390</v>
      </c>
      <c r="C23" t="s">
        <v>390</v>
      </c>
      <c r="D23">
        <v>8.1764390425470998E-2</v>
      </c>
      <c r="E23">
        <v>4.3551673957438102E-3</v>
      </c>
      <c r="F23">
        <v>5.1053556340154501E-5</v>
      </c>
      <c r="G23">
        <v>1.6415170459354599E-2</v>
      </c>
      <c r="H23">
        <v>1.1343580264475E-3</v>
      </c>
      <c r="I23">
        <v>5.6371784189943102E-3</v>
      </c>
      <c r="J23">
        <v>6.6586920761511504E-3</v>
      </c>
      <c r="K23">
        <v>3.4316784629590203E-4</v>
      </c>
      <c r="L23">
        <v>0</v>
      </c>
      <c r="M23">
        <v>2.5600680900708002E-3</v>
      </c>
      <c r="N23">
        <f t="shared" si="0"/>
        <v>0.1189192462948692</v>
      </c>
      <c r="O23">
        <v>1.3775566461745501E-2</v>
      </c>
    </row>
    <row r="24" spans="1:15" x14ac:dyDescent="0.2">
      <c r="A24" t="s">
        <v>3</v>
      </c>
      <c r="B24" s="2" t="s">
        <v>390</v>
      </c>
      <c r="C24" t="s">
        <v>390</v>
      </c>
      <c r="D24">
        <v>0.10488094393785399</v>
      </c>
      <c r="E24">
        <v>7.0583007705601799E-3</v>
      </c>
      <c r="F24">
        <v>3.88323265197373E-4</v>
      </c>
      <c r="G24">
        <v>3.8567135056991303E-2</v>
      </c>
      <c r="H24">
        <v>9.7758836895317589E-4</v>
      </c>
      <c r="I24">
        <v>1.6151021720591501E-2</v>
      </c>
      <c r="J24">
        <v>1.5872745236794598E-2</v>
      </c>
      <c r="K24">
        <v>1.76919729922362E-3</v>
      </c>
      <c r="L24">
        <v>1.13466593524209E-2</v>
      </c>
      <c r="M24">
        <v>7.0487827623437003E-3</v>
      </c>
      <c r="N24">
        <f t="shared" si="0"/>
        <v>0.20406069777093033</v>
      </c>
      <c r="O24">
        <v>6.4754192031583793E-2</v>
      </c>
    </row>
    <row r="25" spans="1:15" x14ac:dyDescent="0.2">
      <c r="A25" t="s">
        <v>30</v>
      </c>
      <c r="B25" s="2" t="s">
        <v>391</v>
      </c>
      <c r="C25" t="s">
        <v>390</v>
      </c>
      <c r="D25">
        <v>7.8055463339469097E-2</v>
      </c>
      <c r="E25">
        <v>3.2980571501075601E-3</v>
      </c>
      <c r="F25">
        <v>0</v>
      </c>
      <c r="G25">
        <v>5.8004314451256499E-3</v>
      </c>
      <c r="H25">
        <v>2.6128985704252999E-4</v>
      </c>
      <c r="I25">
        <v>7.3543516599909996E-3</v>
      </c>
      <c r="J25">
        <v>3.2520623260440698E-3</v>
      </c>
      <c r="K25">
        <v>1.28474798503074E-4</v>
      </c>
      <c r="L25">
        <v>0</v>
      </c>
      <c r="M25">
        <v>2.0542202310590701E-3</v>
      </c>
      <c r="N25">
        <f t="shared" si="0"/>
        <v>0.10020435080734205</v>
      </c>
      <c r="O25">
        <v>1.2037326702066101E-2</v>
      </c>
    </row>
    <row r="26" spans="1:15" x14ac:dyDescent="0.2">
      <c r="A26" t="s">
        <v>31</v>
      </c>
      <c r="B26" s="2" t="s">
        <v>390</v>
      </c>
      <c r="C26" t="s">
        <v>391</v>
      </c>
      <c r="D26">
        <v>7.0992956222593606E-2</v>
      </c>
      <c r="E26">
        <v>7.8371411263636803E-4</v>
      </c>
      <c r="F26">
        <v>1.1889264804049499E-5</v>
      </c>
      <c r="G26">
        <v>1.4139354262826601E-2</v>
      </c>
      <c r="H26">
        <v>1.0642028412901499E-3</v>
      </c>
      <c r="I26">
        <v>4.5074773348204996E-3</v>
      </c>
      <c r="J26">
        <v>5.41455995931604E-3</v>
      </c>
      <c r="K26">
        <v>7.4546551499891705E-4</v>
      </c>
      <c r="L26">
        <v>3.1478497871536898E-5</v>
      </c>
      <c r="M26">
        <v>1.86732176295742E-3</v>
      </c>
      <c r="N26">
        <f t="shared" si="0"/>
        <v>9.9558419774115198E-2</v>
      </c>
      <c r="O26">
        <v>6.8059023613170396E-3</v>
      </c>
    </row>
    <row r="27" spans="1:15" x14ac:dyDescent="0.2">
      <c r="A27" t="s">
        <v>32</v>
      </c>
      <c r="B27" s="2" t="s">
        <v>391</v>
      </c>
      <c r="C27" t="s">
        <v>390</v>
      </c>
      <c r="D27">
        <v>6.1143973109026202E-2</v>
      </c>
      <c r="E27">
        <v>4.6600224117934403E-3</v>
      </c>
      <c r="F27">
        <v>0</v>
      </c>
      <c r="G27">
        <v>4.5051701107922202E-3</v>
      </c>
      <c r="H27">
        <v>3.5445446782089799E-4</v>
      </c>
      <c r="I27">
        <v>7.8230729289878002E-3</v>
      </c>
      <c r="J27">
        <v>3.67371135630207E-3</v>
      </c>
      <c r="K27">
        <v>9.2379558288532197E-4</v>
      </c>
      <c r="L27">
        <v>1.6421288749334499E-4</v>
      </c>
      <c r="M27">
        <v>2.5325311974016699E-3</v>
      </c>
      <c r="N27">
        <f t="shared" si="0"/>
        <v>8.5780944052502972E-2</v>
      </c>
      <c r="O27">
        <v>9.0495049807950596E-3</v>
      </c>
    </row>
    <row r="28" spans="1:15" x14ac:dyDescent="0.2">
      <c r="A28" t="s">
        <v>33</v>
      </c>
      <c r="B28" s="2" t="s">
        <v>391</v>
      </c>
      <c r="C28" t="s">
        <v>390</v>
      </c>
      <c r="D28">
        <v>8.0315925752034403E-2</v>
      </c>
      <c r="E28">
        <v>5.3249811582770203E-3</v>
      </c>
      <c r="F28">
        <v>3.4578325554987997E-5</v>
      </c>
      <c r="G28">
        <v>1.6418104155178598E-2</v>
      </c>
      <c r="H28">
        <v>7.4497000093991597E-4</v>
      </c>
      <c r="I28">
        <v>4.8695177489949098E-3</v>
      </c>
      <c r="J28">
        <v>7.0170680668076302E-3</v>
      </c>
      <c r="K28">
        <v>8.9102127139624205E-4</v>
      </c>
      <c r="L28">
        <v>0</v>
      </c>
      <c r="M28">
        <v>2.5242198101307302E-3</v>
      </c>
      <c r="N28">
        <f t="shared" si="0"/>
        <v>0.11814038628931445</v>
      </c>
      <c r="O28">
        <v>9.9089586652297296E-3</v>
      </c>
    </row>
    <row r="29" spans="1:15" x14ac:dyDescent="0.2">
      <c r="A29" t="s">
        <v>34</v>
      </c>
      <c r="B29" s="2" t="s">
        <v>391</v>
      </c>
      <c r="C29" t="s">
        <v>391</v>
      </c>
      <c r="D29">
        <v>7.8061470591433799E-2</v>
      </c>
      <c r="E29">
        <v>4.3899605098068999E-3</v>
      </c>
      <c r="F29">
        <v>0</v>
      </c>
      <c r="G29">
        <v>6.2062606828938403E-3</v>
      </c>
      <c r="H29">
        <v>4.2834410309044199E-4</v>
      </c>
      <c r="I29">
        <v>8.4860801055968906E-3</v>
      </c>
      <c r="J29">
        <v>4.9318049248407098E-3</v>
      </c>
      <c r="K29">
        <v>9.7056721236778404E-4</v>
      </c>
      <c r="L29">
        <v>0</v>
      </c>
      <c r="M29">
        <v>3.3052679321415499E-3</v>
      </c>
      <c r="N29">
        <f t="shared" si="0"/>
        <v>0.10677975606217191</v>
      </c>
      <c r="O29">
        <v>1.1304061300433901E-2</v>
      </c>
    </row>
    <row r="30" spans="1:15" x14ac:dyDescent="0.2">
      <c r="A30" t="s">
        <v>35</v>
      </c>
      <c r="B30" s="2" t="s">
        <v>390</v>
      </c>
      <c r="C30" t="s">
        <v>391</v>
      </c>
      <c r="D30">
        <v>6.3746159443184E-2</v>
      </c>
      <c r="E30">
        <v>4.0111560633894596E-3</v>
      </c>
      <c r="F30">
        <v>9.0031084463096001E-5</v>
      </c>
      <c r="G30">
        <v>1.5331588777188199E-2</v>
      </c>
      <c r="H30">
        <v>1.1554376789642399E-3</v>
      </c>
      <c r="I30">
        <v>5.8542033862165003E-3</v>
      </c>
      <c r="J30">
        <v>4.7520416185863499E-3</v>
      </c>
      <c r="K30">
        <v>5.3752334378548005E-4</v>
      </c>
      <c r="L30">
        <v>2.6703918876535701E-5</v>
      </c>
      <c r="M30">
        <v>3.1476665156015202E-3</v>
      </c>
      <c r="N30">
        <f t="shared" si="0"/>
        <v>9.8652511830255391E-2</v>
      </c>
      <c r="O30">
        <v>1.17058363403818E-2</v>
      </c>
    </row>
    <row r="31" spans="1:15" x14ac:dyDescent="0.2">
      <c r="A31" t="s">
        <v>36</v>
      </c>
      <c r="B31" s="2" t="s">
        <v>391</v>
      </c>
      <c r="C31" t="s">
        <v>390</v>
      </c>
      <c r="D31">
        <v>5.6222757305413103E-2</v>
      </c>
      <c r="E31">
        <v>7.1297967831592101E-3</v>
      </c>
      <c r="F31">
        <v>6.9706187788786894E-5</v>
      </c>
      <c r="G31">
        <v>1.0421773940137401E-2</v>
      </c>
      <c r="H31">
        <v>9.4976009164806903E-4</v>
      </c>
      <c r="I31">
        <v>5.0175889921970102E-3</v>
      </c>
      <c r="J31">
        <v>5.6907057390332598E-3</v>
      </c>
      <c r="K31">
        <v>6.2190533295992695E-4</v>
      </c>
      <c r="L31">
        <v>0</v>
      </c>
      <c r="M31">
        <v>3.4601143063246298E-4</v>
      </c>
      <c r="N31">
        <f t="shared" si="0"/>
        <v>8.6470005802969221E-2</v>
      </c>
      <c r="O31">
        <v>1.48283765099308E-2</v>
      </c>
    </row>
    <row r="32" spans="1:15" x14ac:dyDescent="0.2">
      <c r="A32" t="s">
        <v>37</v>
      </c>
      <c r="B32" s="2" t="s">
        <v>391</v>
      </c>
      <c r="C32" t="s">
        <v>391</v>
      </c>
      <c r="D32">
        <v>3.1739957025577699E-2</v>
      </c>
      <c r="E32">
        <v>1.1219189307798299E-3</v>
      </c>
      <c r="F32">
        <v>3.3007223963239899E-5</v>
      </c>
      <c r="G32">
        <v>6.1965077898552996E-3</v>
      </c>
      <c r="H32">
        <v>3.0826011614904501E-4</v>
      </c>
      <c r="I32">
        <v>1.8456475702672199E-3</v>
      </c>
      <c r="J32">
        <v>2.06618033044889E-3</v>
      </c>
      <c r="K32">
        <v>6.9351710531372797E-3</v>
      </c>
      <c r="L32">
        <v>2.6777189159375101E-4</v>
      </c>
      <c r="M32">
        <v>9.2769237023596898E-4</v>
      </c>
      <c r="N32">
        <f t="shared" si="0"/>
        <v>5.1442114302008221E-2</v>
      </c>
      <c r="O32">
        <v>1.7364536831153101E-2</v>
      </c>
    </row>
    <row r="33" spans="1:15" x14ac:dyDescent="0.2">
      <c r="A33" t="s">
        <v>38</v>
      </c>
      <c r="B33" s="2" t="s">
        <v>390</v>
      </c>
      <c r="C33" t="s">
        <v>390</v>
      </c>
      <c r="D33">
        <v>4.1880290312574599E-2</v>
      </c>
      <c r="E33">
        <v>2.37007511782787E-3</v>
      </c>
      <c r="F33">
        <v>3.22100945755006E-5</v>
      </c>
      <c r="G33">
        <v>4.30979031588637E-3</v>
      </c>
      <c r="H33">
        <v>2.7027961906642698E-4</v>
      </c>
      <c r="I33">
        <v>4.1378817000151903E-3</v>
      </c>
      <c r="J33">
        <v>2.7964435384686599E-3</v>
      </c>
      <c r="K33">
        <v>1.80858283894039E-4</v>
      </c>
      <c r="L33">
        <v>2.1637085306265401E-4</v>
      </c>
      <c r="M33">
        <v>1.7166801869812601E-3</v>
      </c>
      <c r="N33">
        <f t="shared" si="0"/>
        <v>5.7910880022352569E-2</v>
      </c>
      <c r="O33">
        <v>2.3514122756066098E-3</v>
      </c>
    </row>
    <row r="34" spans="1:15" x14ac:dyDescent="0.2">
      <c r="A34" t="s">
        <v>39</v>
      </c>
      <c r="B34" s="2" t="s">
        <v>391</v>
      </c>
      <c r="C34" t="s">
        <v>391</v>
      </c>
      <c r="D34">
        <v>5.7204833597332701E-2</v>
      </c>
      <c r="E34">
        <v>1.2915642041780801E-2</v>
      </c>
      <c r="F34">
        <v>0</v>
      </c>
      <c r="G34">
        <v>1.0939160641725501E-2</v>
      </c>
      <c r="H34">
        <v>1.8620562558908601E-3</v>
      </c>
      <c r="I34">
        <v>5.0866551096438502E-3</v>
      </c>
      <c r="J34">
        <v>2.0935610005215499E-2</v>
      </c>
      <c r="K34">
        <v>2.8003573709053701E-3</v>
      </c>
      <c r="L34">
        <v>0</v>
      </c>
      <c r="M34">
        <v>6.2977420023163401E-3</v>
      </c>
      <c r="N34">
        <f t="shared" ref="N34:N65" si="1">SUM(D34:M34)</f>
        <v>0.11804205702481091</v>
      </c>
      <c r="O34">
        <v>6.3633520455492502E-3</v>
      </c>
    </row>
    <row r="35" spans="1:15" x14ac:dyDescent="0.2">
      <c r="A35" t="s">
        <v>4</v>
      </c>
      <c r="B35" s="2" t="s">
        <v>390</v>
      </c>
      <c r="C35" t="s">
        <v>391</v>
      </c>
      <c r="D35">
        <v>6.4584672548028202E-2</v>
      </c>
      <c r="E35">
        <v>1.6229959751542301E-3</v>
      </c>
      <c r="F35">
        <v>6.8183036879906401E-4</v>
      </c>
      <c r="G35">
        <v>9.5666041599737107E-3</v>
      </c>
      <c r="H35">
        <v>1.27460111898442E-3</v>
      </c>
      <c r="I35">
        <v>4.0005354147486599E-2</v>
      </c>
      <c r="J35">
        <v>2.61237792231051E-2</v>
      </c>
      <c r="K35">
        <v>5.9939915819377E-3</v>
      </c>
      <c r="L35">
        <v>6.6207191868481105E-2</v>
      </c>
      <c r="M35">
        <v>2.35292822338404E-2</v>
      </c>
      <c r="N35">
        <f t="shared" si="1"/>
        <v>0.23959030322579053</v>
      </c>
      <c r="O35">
        <v>0.16736958538862001</v>
      </c>
    </row>
    <row r="36" spans="1:15" x14ac:dyDescent="0.2">
      <c r="A36" t="s">
        <v>40</v>
      </c>
      <c r="B36" s="2" t="s">
        <v>391</v>
      </c>
      <c r="C36" t="s">
        <v>391</v>
      </c>
      <c r="D36">
        <v>5.4240370617185799E-2</v>
      </c>
      <c r="E36">
        <v>3.1771749756815699E-3</v>
      </c>
      <c r="F36">
        <v>9.2688504991162606E-5</v>
      </c>
      <c r="G36">
        <v>4.6982198369757101E-3</v>
      </c>
      <c r="H36">
        <v>6.3366978595633797E-5</v>
      </c>
      <c r="I36">
        <v>5.0875383609385802E-3</v>
      </c>
      <c r="J36">
        <v>1.33720626596189E-3</v>
      </c>
      <c r="K36">
        <v>5.0128419701555996E-4</v>
      </c>
      <c r="L36">
        <v>4.9762478161500197E-5</v>
      </c>
      <c r="M36">
        <v>1.82780087012367E-3</v>
      </c>
      <c r="N36">
        <f t="shared" si="1"/>
        <v>7.1075413085631076E-2</v>
      </c>
      <c r="O36">
        <v>1.0152786864621901E-2</v>
      </c>
    </row>
    <row r="37" spans="1:15" x14ac:dyDescent="0.2">
      <c r="A37" t="s">
        <v>41</v>
      </c>
      <c r="B37" s="2" t="s">
        <v>391</v>
      </c>
      <c r="C37" t="s">
        <v>390</v>
      </c>
      <c r="D37">
        <v>0.120490413923939</v>
      </c>
      <c r="E37">
        <v>7.4672729240602403E-3</v>
      </c>
      <c r="F37">
        <v>1.00982641571855E-4</v>
      </c>
      <c r="G37">
        <v>2.5805217999272798E-2</v>
      </c>
      <c r="H37">
        <v>8.91866245031573E-4</v>
      </c>
      <c r="I37">
        <v>9.9021679441346194E-3</v>
      </c>
      <c r="J37">
        <v>8.4983475028104806E-3</v>
      </c>
      <c r="K37">
        <v>1.0812227914335001E-3</v>
      </c>
      <c r="L37">
        <v>0</v>
      </c>
      <c r="M37">
        <v>3.4437031239883502E-3</v>
      </c>
      <c r="N37">
        <f t="shared" si="1"/>
        <v>0.17768119509624239</v>
      </c>
      <c r="O37">
        <v>2.2601201831873901E-2</v>
      </c>
    </row>
    <row r="38" spans="1:15" x14ac:dyDescent="0.2">
      <c r="A38" t="s">
        <v>42</v>
      </c>
      <c r="B38" s="2" t="s">
        <v>390</v>
      </c>
      <c r="C38" t="s">
        <v>391</v>
      </c>
      <c r="D38">
        <v>6.3623886795056303E-2</v>
      </c>
      <c r="E38">
        <v>6.0191512503145997E-4</v>
      </c>
      <c r="F38">
        <v>1.7327344098334299E-4</v>
      </c>
      <c r="G38">
        <v>2.4043456626457499E-3</v>
      </c>
      <c r="H38">
        <v>2.35072849322505E-4</v>
      </c>
      <c r="I38">
        <v>1.1554060522106301E-2</v>
      </c>
      <c r="J38">
        <v>3.0414386766616799E-2</v>
      </c>
      <c r="K38">
        <v>1.0330014126610901E-2</v>
      </c>
      <c r="L38">
        <v>6.0267375579821897E-2</v>
      </c>
      <c r="M38">
        <v>1.64048319342441E-2</v>
      </c>
      <c r="N38">
        <f t="shared" si="1"/>
        <v>0.19600916280243938</v>
      </c>
      <c r="O38">
        <v>7.9507247738679496E-2</v>
      </c>
    </row>
    <row r="39" spans="1:15" x14ac:dyDescent="0.2">
      <c r="A39" t="s">
        <v>43</v>
      </c>
      <c r="B39" s="2" t="s">
        <v>391</v>
      </c>
      <c r="C39" t="s">
        <v>390</v>
      </c>
      <c r="D39">
        <v>8.34872019363435E-2</v>
      </c>
      <c r="E39">
        <v>4.6602221203097304E-3</v>
      </c>
      <c r="F39">
        <v>2.1376470509789499E-5</v>
      </c>
      <c r="G39">
        <v>1.39104991505643E-2</v>
      </c>
      <c r="H39">
        <v>1.1936845008786599E-3</v>
      </c>
      <c r="I39">
        <v>1.53180812431747E-2</v>
      </c>
      <c r="J39">
        <v>8.7643810518226502E-3</v>
      </c>
      <c r="K39">
        <v>1.11663525583509E-3</v>
      </c>
      <c r="L39">
        <v>0</v>
      </c>
      <c r="M39">
        <v>5.86766397061629E-3</v>
      </c>
      <c r="N39">
        <f t="shared" si="1"/>
        <v>0.13433974570005469</v>
      </c>
      <c r="O39">
        <v>2.59183156254203E-2</v>
      </c>
    </row>
    <row r="40" spans="1:15" x14ac:dyDescent="0.2">
      <c r="A40" t="s">
        <v>44</v>
      </c>
      <c r="B40" s="2" t="s">
        <v>391</v>
      </c>
      <c r="C40" t="s">
        <v>391</v>
      </c>
      <c r="D40">
        <v>4.7823291499372603E-2</v>
      </c>
      <c r="E40">
        <v>7.5048729974551203E-3</v>
      </c>
      <c r="F40">
        <v>0</v>
      </c>
      <c r="G40">
        <v>2.5572831485996501E-2</v>
      </c>
      <c r="H40">
        <v>2.4190878999970499E-3</v>
      </c>
      <c r="I40">
        <v>9.6315999734778099E-3</v>
      </c>
      <c r="J40">
        <v>9.0909165241297302E-3</v>
      </c>
      <c r="K40">
        <v>1.22629171112235E-3</v>
      </c>
      <c r="L40">
        <v>0</v>
      </c>
      <c r="M40">
        <v>4.7836236020815401E-5</v>
      </c>
      <c r="N40">
        <f t="shared" si="1"/>
        <v>0.10331672832757198</v>
      </c>
      <c r="O40">
        <v>3.1313758410009801E-2</v>
      </c>
    </row>
    <row r="41" spans="1:15" x14ac:dyDescent="0.2">
      <c r="A41" t="s">
        <v>45</v>
      </c>
      <c r="B41" s="2" t="s">
        <v>391</v>
      </c>
      <c r="C41" t="s">
        <v>391</v>
      </c>
      <c r="D41">
        <v>9.0491543663011195E-2</v>
      </c>
      <c r="E41">
        <v>1.41017826478009E-2</v>
      </c>
      <c r="F41">
        <v>6.9836425116498902E-5</v>
      </c>
      <c r="G41">
        <v>3.0729612973686302E-2</v>
      </c>
      <c r="H41">
        <v>3.74360069042135E-3</v>
      </c>
      <c r="I41">
        <v>3.33310104538534E-2</v>
      </c>
      <c r="J41">
        <v>1.7126889401085602E-2</v>
      </c>
      <c r="K41">
        <v>6.9358894953416904E-4</v>
      </c>
      <c r="L41">
        <v>1.31585581972093E-4</v>
      </c>
      <c r="M41">
        <v>7.1386090138309301E-3</v>
      </c>
      <c r="N41">
        <f t="shared" si="1"/>
        <v>0.19755805980031241</v>
      </c>
      <c r="O41">
        <v>5.68554828426251E-2</v>
      </c>
    </row>
    <row r="42" spans="1:15" x14ac:dyDescent="0.2">
      <c r="A42" t="s">
        <v>46</v>
      </c>
      <c r="B42" s="2" t="s">
        <v>391</v>
      </c>
      <c r="C42" t="s">
        <v>391</v>
      </c>
      <c r="D42">
        <v>7.8049341660087299E-2</v>
      </c>
      <c r="E42">
        <v>8.4111574614222102E-3</v>
      </c>
      <c r="F42">
        <v>5.36417576868847E-5</v>
      </c>
      <c r="G42">
        <v>2.1115711272034699E-2</v>
      </c>
      <c r="H42">
        <v>2.6348956910932E-3</v>
      </c>
      <c r="I42">
        <v>9.1990419025789194E-3</v>
      </c>
      <c r="J42">
        <v>9.5013647958156304E-3</v>
      </c>
      <c r="K42">
        <v>1.40543067398468E-3</v>
      </c>
      <c r="L42">
        <v>0</v>
      </c>
      <c r="M42">
        <v>4.37186295987537E-3</v>
      </c>
      <c r="N42">
        <f t="shared" si="1"/>
        <v>0.13474244817457889</v>
      </c>
      <c r="O42">
        <v>1.4893217860902501E-2</v>
      </c>
    </row>
    <row r="43" spans="1:15" x14ac:dyDescent="0.2">
      <c r="A43" t="s">
        <v>47</v>
      </c>
      <c r="B43" s="2" t="s">
        <v>391</v>
      </c>
      <c r="C43" t="s">
        <v>391</v>
      </c>
      <c r="D43">
        <v>0.101906505670425</v>
      </c>
      <c r="E43">
        <v>7.2227376497886299E-3</v>
      </c>
      <c r="F43">
        <v>0</v>
      </c>
      <c r="G43">
        <v>1.7214373029435799E-2</v>
      </c>
      <c r="H43">
        <v>7.9514625773066498E-4</v>
      </c>
      <c r="I43">
        <v>1.44727517904617E-2</v>
      </c>
      <c r="J43">
        <v>9.1316932475079497E-3</v>
      </c>
      <c r="K43">
        <v>1.3085480771305501E-3</v>
      </c>
      <c r="L43">
        <v>1.74140213088028E-4</v>
      </c>
      <c r="M43">
        <v>5.08444178181731E-3</v>
      </c>
      <c r="N43">
        <f t="shared" si="1"/>
        <v>0.15731033771738565</v>
      </c>
      <c r="O43">
        <v>1.7264015702777701E-2</v>
      </c>
    </row>
    <row r="44" spans="1:15" x14ac:dyDescent="0.2">
      <c r="A44" t="s">
        <v>48</v>
      </c>
      <c r="B44" s="2" t="s">
        <v>390</v>
      </c>
      <c r="C44" t="s">
        <v>390</v>
      </c>
      <c r="D44">
        <v>0.11518093832694901</v>
      </c>
      <c r="E44">
        <v>8.72923868798481E-3</v>
      </c>
      <c r="F44">
        <v>8.4628764376803E-5</v>
      </c>
      <c r="G44">
        <v>3.7601792930567403E-2</v>
      </c>
      <c r="H44">
        <v>2.73256021094601E-3</v>
      </c>
      <c r="I44">
        <v>1.2511894364435399E-2</v>
      </c>
      <c r="J44">
        <v>1.32483488259097E-2</v>
      </c>
      <c r="K44">
        <v>1.8566130361633601E-3</v>
      </c>
      <c r="L44">
        <v>1.5456458778910399E-5</v>
      </c>
      <c r="M44">
        <v>3.8509352295178199E-3</v>
      </c>
      <c r="N44">
        <f t="shared" si="1"/>
        <v>0.1958124068356292</v>
      </c>
      <c r="O44">
        <v>2.2359824705400301E-2</v>
      </c>
    </row>
    <row r="45" spans="1:15" x14ac:dyDescent="0.2">
      <c r="A45" t="s">
        <v>49</v>
      </c>
      <c r="B45" s="2" t="s">
        <v>390</v>
      </c>
      <c r="C45" t="s">
        <v>390</v>
      </c>
      <c r="D45">
        <v>0.13448189091412599</v>
      </c>
      <c r="E45">
        <v>1.31673022200312E-2</v>
      </c>
      <c r="F45">
        <v>0</v>
      </c>
      <c r="G45">
        <v>3.3223870866713502E-2</v>
      </c>
      <c r="H45">
        <v>3.4214153207960001E-3</v>
      </c>
      <c r="I45">
        <v>2.4354370660966001E-2</v>
      </c>
      <c r="J45">
        <v>2.0929007962267501E-2</v>
      </c>
      <c r="K45">
        <v>1.73407586752603E-3</v>
      </c>
      <c r="L45">
        <v>1.6058316006250099E-5</v>
      </c>
      <c r="M45">
        <v>1.0341084217108901E-2</v>
      </c>
      <c r="N45">
        <f t="shared" si="1"/>
        <v>0.24166907634554141</v>
      </c>
      <c r="O45">
        <v>3.2949615442983103E-2</v>
      </c>
    </row>
    <row r="46" spans="1:15" x14ac:dyDescent="0.2">
      <c r="A46" t="s">
        <v>5</v>
      </c>
      <c r="B46" s="2" t="s">
        <v>391</v>
      </c>
      <c r="C46" t="s">
        <v>391</v>
      </c>
      <c r="D46">
        <v>4.3139464457919802E-2</v>
      </c>
      <c r="E46">
        <v>1.6507000166775399E-3</v>
      </c>
      <c r="F46">
        <v>4.8044424991682802E-4</v>
      </c>
      <c r="G46">
        <v>6.2618183028000998E-3</v>
      </c>
      <c r="H46">
        <v>1.44197407756109E-4</v>
      </c>
      <c r="I46">
        <v>2.7457253948483598E-3</v>
      </c>
      <c r="J46">
        <v>5.9236441159805902E-3</v>
      </c>
      <c r="K46">
        <v>4.0938892831244404E-3</v>
      </c>
      <c r="L46">
        <v>1.0422896079209799E-2</v>
      </c>
      <c r="M46">
        <v>1.4693239753710799E-3</v>
      </c>
      <c r="N46">
        <f t="shared" si="1"/>
        <v>7.6332103283604652E-2</v>
      </c>
      <c r="O46">
        <v>4.8718284110424698E-2</v>
      </c>
    </row>
    <row r="47" spans="1:15" x14ac:dyDescent="0.2">
      <c r="A47" t="s">
        <v>50</v>
      </c>
      <c r="B47" s="2" t="s">
        <v>390</v>
      </c>
      <c r="C47" t="s">
        <v>391</v>
      </c>
      <c r="D47">
        <v>9.8443160642294206E-2</v>
      </c>
      <c r="E47">
        <v>5.8369432573740698E-3</v>
      </c>
      <c r="F47">
        <v>3.1210879001107498E-5</v>
      </c>
      <c r="G47">
        <v>3.2769889053817003E-2</v>
      </c>
      <c r="H47">
        <v>1.1307149821331501E-3</v>
      </c>
      <c r="I47">
        <v>9.5590074654554793E-3</v>
      </c>
      <c r="J47">
        <v>1.09177534640355E-2</v>
      </c>
      <c r="K47">
        <v>2.1173867218820999E-3</v>
      </c>
      <c r="L47">
        <v>0</v>
      </c>
      <c r="M47">
        <v>4.5390108245702103E-3</v>
      </c>
      <c r="N47">
        <f t="shared" si="1"/>
        <v>0.16534507729056286</v>
      </c>
      <c r="O47">
        <v>1.9106974151356398E-2</v>
      </c>
    </row>
    <row r="48" spans="1:15" x14ac:dyDescent="0.2">
      <c r="A48" t="s">
        <v>51</v>
      </c>
      <c r="B48" s="2" t="s">
        <v>390</v>
      </c>
      <c r="C48" t="s">
        <v>390</v>
      </c>
      <c r="D48">
        <v>8.4696178802772207E-2</v>
      </c>
      <c r="E48">
        <v>3.2443341889783102E-3</v>
      </c>
      <c r="F48">
        <v>0</v>
      </c>
      <c r="G48">
        <v>1.69333763539176E-2</v>
      </c>
      <c r="H48">
        <v>1.72630200417153E-3</v>
      </c>
      <c r="I48">
        <v>1.20954432396367E-2</v>
      </c>
      <c r="J48">
        <v>4.8930462806628999E-3</v>
      </c>
      <c r="K48">
        <v>1.1116148019744299E-3</v>
      </c>
      <c r="L48">
        <v>2.3395135876616E-3</v>
      </c>
      <c r="M48">
        <v>4.8376615159500501E-3</v>
      </c>
      <c r="N48">
        <f t="shared" si="1"/>
        <v>0.13187747077572531</v>
      </c>
      <c r="O48">
        <v>1.78838026052195E-2</v>
      </c>
    </row>
    <row r="49" spans="1:15" x14ac:dyDescent="0.2">
      <c r="A49" t="s">
        <v>52</v>
      </c>
      <c r="B49" s="2" t="s">
        <v>391</v>
      </c>
      <c r="C49" t="s">
        <v>391</v>
      </c>
      <c r="D49">
        <v>0.113439999221619</v>
      </c>
      <c r="E49">
        <v>7.5843030778630699E-3</v>
      </c>
      <c r="F49">
        <v>9.4649429370298805E-5</v>
      </c>
      <c r="G49">
        <v>4.6278347864570503E-2</v>
      </c>
      <c r="H49">
        <v>1.7894022699171399E-3</v>
      </c>
      <c r="I49">
        <v>1.4051275600118301E-2</v>
      </c>
      <c r="J49">
        <v>6.0780627447285501E-3</v>
      </c>
      <c r="K49">
        <v>1.87671473609496E-3</v>
      </c>
      <c r="L49">
        <v>3.8303124570051E-4</v>
      </c>
      <c r="M49">
        <v>6.3179596481988103E-3</v>
      </c>
      <c r="N49">
        <f t="shared" si="1"/>
        <v>0.19789374583818115</v>
      </c>
      <c r="O49">
        <v>4.4490888920877499E-2</v>
      </c>
    </row>
    <row r="50" spans="1:15" x14ac:dyDescent="0.2">
      <c r="A50" t="s">
        <v>53</v>
      </c>
      <c r="B50" s="2" t="s">
        <v>390</v>
      </c>
      <c r="C50" t="s">
        <v>390</v>
      </c>
      <c r="D50">
        <v>6.4555620770006206E-2</v>
      </c>
      <c r="E50">
        <v>5.3891095136237403E-3</v>
      </c>
      <c r="F50">
        <v>0</v>
      </c>
      <c r="G50">
        <v>1.7774996571839601E-2</v>
      </c>
      <c r="H50">
        <v>1.1291945045691901E-3</v>
      </c>
      <c r="I50">
        <v>1.33583569943963E-2</v>
      </c>
      <c r="J50">
        <v>7.6980070606806304E-3</v>
      </c>
      <c r="K50">
        <v>7.7776088486003296E-4</v>
      </c>
      <c r="L50">
        <v>7.4387335007390905E-5</v>
      </c>
      <c r="M50">
        <v>3.6660569378269398E-3</v>
      </c>
      <c r="N50">
        <f t="shared" si="1"/>
        <v>0.11442349057281005</v>
      </c>
      <c r="O50">
        <v>1.9076025166289701E-2</v>
      </c>
    </row>
    <row r="51" spans="1:15" x14ac:dyDescent="0.2">
      <c r="A51" t="s">
        <v>54</v>
      </c>
      <c r="B51" s="2" t="s">
        <v>390</v>
      </c>
      <c r="C51" t="s">
        <v>390</v>
      </c>
      <c r="D51">
        <v>9.2972836034681094E-2</v>
      </c>
      <c r="E51">
        <v>4.2734931857156102E-3</v>
      </c>
      <c r="F51">
        <v>2.5248349890239899E-5</v>
      </c>
      <c r="G51">
        <v>1.9317114668445101E-2</v>
      </c>
      <c r="H51">
        <v>5.2959934749543895E-4</v>
      </c>
      <c r="I51">
        <v>5.8568750101929299E-3</v>
      </c>
      <c r="J51">
        <v>6.5955247439840204E-3</v>
      </c>
      <c r="K51">
        <v>2.3187119389855501E-4</v>
      </c>
      <c r="L51">
        <v>0</v>
      </c>
      <c r="M51">
        <v>2.0777711500406899E-3</v>
      </c>
      <c r="N51">
        <f t="shared" si="1"/>
        <v>0.13188033368434368</v>
      </c>
      <c r="O51">
        <v>1.6226223647488099E-2</v>
      </c>
    </row>
    <row r="52" spans="1:15" x14ac:dyDescent="0.2">
      <c r="A52" t="s">
        <v>55</v>
      </c>
      <c r="B52" s="2" t="s">
        <v>390</v>
      </c>
      <c r="C52" t="s">
        <v>390</v>
      </c>
      <c r="D52">
        <v>4.2660370698111599E-2</v>
      </c>
      <c r="E52">
        <v>7.51168375614808E-4</v>
      </c>
      <c r="F52">
        <v>0</v>
      </c>
      <c r="G52">
        <v>5.8844066332971795E-4</v>
      </c>
      <c r="H52">
        <v>2.5356959438367502E-4</v>
      </c>
      <c r="I52">
        <v>2.5751644111725799E-3</v>
      </c>
      <c r="J52">
        <v>4.1473182042562598E-4</v>
      </c>
      <c r="K52">
        <v>3.8908559023466199E-4</v>
      </c>
      <c r="L52">
        <v>3.1705893755783103E-5</v>
      </c>
      <c r="M52">
        <v>1.11545935196327E-3</v>
      </c>
      <c r="N52">
        <f t="shared" si="1"/>
        <v>4.8779696398991726E-2</v>
      </c>
      <c r="O52">
        <v>3.4971480019501001E-3</v>
      </c>
    </row>
    <row r="53" spans="1:15" x14ac:dyDescent="0.2">
      <c r="A53" t="s">
        <v>56</v>
      </c>
      <c r="B53" s="2" t="s">
        <v>390</v>
      </c>
      <c r="C53" t="s">
        <v>390</v>
      </c>
      <c r="D53">
        <v>0.12148294323802</v>
      </c>
      <c r="E53">
        <v>9.6906042096109798E-3</v>
      </c>
      <c r="F53">
        <v>5.5028541216554797E-5</v>
      </c>
      <c r="G53">
        <v>3.7798555116319299E-2</v>
      </c>
      <c r="H53">
        <v>4.0828542499067302E-3</v>
      </c>
      <c r="I53">
        <v>7.9481381081684503E-3</v>
      </c>
      <c r="J53">
        <v>1.6678711262324501E-2</v>
      </c>
      <c r="K53">
        <v>1.92633287371417E-3</v>
      </c>
      <c r="L53">
        <v>4.3660027005301E-4</v>
      </c>
      <c r="M53">
        <v>5.7646111767661601E-3</v>
      </c>
      <c r="N53">
        <f t="shared" si="1"/>
        <v>0.20586437904609986</v>
      </c>
      <c r="O53">
        <v>2.3098567549594998E-2</v>
      </c>
    </row>
    <row r="54" spans="1:15" x14ac:dyDescent="0.2">
      <c r="A54" t="s">
        <v>57</v>
      </c>
      <c r="B54" s="2" t="s">
        <v>391</v>
      </c>
      <c r="C54" t="s">
        <v>390</v>
      </c>
      <c r="D54">
        <v>9.4349373361709496E-2</v>
      </c>
      <c r="E54">
        <v>6.5172624344348199E-3</v>
      </c>
      <c r="F54">
        <v>9.9265194985060303E-5</v>
      </c>
      <c r="G54">
        <v>1.65622563531964E-2</v>
      </c>
      <c r="H54">
        <v>1.2988041078408701E-3</v>
      </c>
      <c r="I54">
        <v>1.01445210970929E-2</v>
      </c>
      <c r="J54">
        <v>9.1942230482223494E-3</v>
      </c>
      <c r="K54">
        <v>1.5931778523349399E-3</v>
      </c>
      <c r="L54">
        <v>0</v>
      </c>
      <c r="M54">
        <v>3.1630261103717801E-3</v>
      </c>
      <c r="N54">
        <f t="shared" si="1"/>
        <v>0.14292190956018863</v>
      </c>
      <c r="O54">
        <v>1.6260446706599398E-2</v>
      </c>
    </row>
    <row r="55" spans="1:15" x14ac:dyDescent="0.2">
      <c r="A55" t="s">
        <v>58</v>
      </c>
      <c r="B55" s="2" t="s">
        <v>390</v>
      </c>
      <c r="C55" t="s">
        <v>390</v>
      </c>
      <c r="D55">
        <v>9.5843122588201199E-2</v>
      </c>
      <c r="E55">
        <v>5.6879747949760704E-3</v>
      </c>
      <c r="F55">
        <v>0</v>
      </c>
      <c r="G55">
        <v>1.9838874938134101E-2</v>
      </c>
      <c r="H55">
        <v>9.2715189807316203E-4</v>
      </c>
      <c r="I55">
        <v>8.8148689625070394E-3</v>
      </c>
      <c r="J55">
        <v>1.1244966059123399E-2</v>
      </c>
      <c r="K55">
        <v>1.0349076932933199E-3</v>
      </c>
      <c r="L55">
        <v>1.36716485759117E-2</v>
      </c>
      <c r="M55">
        <v>6.1914944633579098E-3</v>
      </c>
      <c r="N55">
        <f t="shared" si="1"/>
        <v>0.16325500997357786</v>
      </c>
      <c r="O55">
        <v>3.18317556869211E-2</v>
      </c>
    </row>
    <row r="56" spans="1:15" x14ac:dyDescent="0.2">
      <c r="A56" t="s">
        <v>59</v>
      </c>
      <c r="B56" s="2" t="s">
        <v>391</v>
      </c>
      <c r="C56" t="s">
        <v>391</v>
      </c>
      <c r="D56">
        <v>7.0570493711416896E-2</v>
      </c>
      <c r="E56">
        <v>3.8931138564083701E-3</v>
      </c>
      <c r="F56">
        <v>2.73679961447998E-5</v>
      </c>
      <c r="G56">
        <v>1.1110226302129E-2</v>
      </c>
      <c r="H56">
        <v>3.7576499803755402E-4</v>
      </c>
      <c r="I56">
        <v>7.3609426975218602E-3</v>
      </c>
      <c r="J56">
        <v>6.8128347579122601E-3</v>
      </c>
      <c r="K56">
        <v>8.4579575194391001E-4</v>
      </c>
      <c r="L56">
        <v>8.9306897018136096E-5</v>
      </c>
      <c r="M56">
        <v>2.5798551286394999E-3</v>
      </c>
      <c r="N56">
        <f t="shared" si="1"/>
        <v>0.10366570209717228</v>
      </c>
      <c r="O56">
        <v>1.04703580012027E-2</v>
      </c>
    </row>
    <row r="57" spans="1:15" x14ac:dyDescent="0.2">
      <c r="A57" t="s">
        <v>6</v>
      </c>
      <c r="B57" s="2" t="s">
        <v>391</v>
      </c>
      <c r="C57" t="s">
        <v>390</v>
      </c>
      <c r="D57">
        <v>5.0793985325942502E-2</v>
      </c>
      <c r="E57">
        <v>2.2549913914642699E-3</v>
      </c>
      <c r="F57">
        <v>0</v>
      </c>
      <c r="G57">
        <v>1.5634392115475499E-5</v>
      </c>
      <c r="H57">
        <v>2.5013060910547297E-4</v>
      </c>
      <c r="I57">
        <v>2.58437702200772E-3</v>
      </c>
      <c r="J57">
        <v>3.65122123072174E-3</v>
      </c>
      <c r="K57">
        <v>7.2484874075103305E-4</v>
      </c>
      <c r="L57">
        <v>1.3929571487024501E-3</v>
      </c>
      <c r="M57">
        <v>1.12340104922146E-3</v>
      </c>
      <c r="N57">
        <f t="shared" si="1"/>
        <v>6.2791546910032123E-2</v>
      </c>
      <c r="O57">
        <v>1.17853352982948E-2</v>
      </c>
    </row>
    <row r="58" spans="1:15" x14ac:dyDescent="0.2">
      <c r="A58" t="s">
        <v>60</v>
      </c>
      <c r="B58" s="2" t="s">
        <v>391</v>
      </c>
      <c r="C58" t="s">
        <v>391</v>
      </c>
      <c r="D58">
        <v>8.1851992375394395E-2</v>
      </c>
      <c r="E58">
        <v>5.4087602215408398E-3</v>
      </c>
      <c r="F58">
        <v>5.6918833593451698E-5</v>
      </c>
      <c r="G58">
        <v>1.6425172820669302E-2</v>
      </c>
      <c r="H58">
        <v>1.08484831465158E-3</v>
      </c>
      <c r="I58">
        <v>7.8958135033443694E-3</v>
      </c>
      <c r="J58">
        <v>8.1956962791840792E-3</v>
      </c>
      <c r="K58">
        <v>1.62648295997617E-3</v>
      </c>
      <c r="L58">
        <v>0</v>
      </c>
      <c r="M58">
        <v>3.8259921303820201E-3</v>
      </c>
      <c r="N58">
        <f t="shared" si="1"/>
        <v>0.1263716774387362</v>
      </c>
      <c r="O58">
        <v>2.78141929941104E-2</v>
      </c>
    </row>
    <row r="59" spans="1:15" x14ac:dyDescent="0.2">
      <c r="A59" t="s">
        <v>61</v>
      </c>
      <c r="B59" s="2" t="s">
        <v>391</v>
      </c>
      <c r="C59" t="s">
        <v>390</v>
      </c>
      <c r="D59">
        <v>7.6185668100888601E-2</v>
      </c>
      <c r="E59">
        <v>4.9655514309248899E-3</v>
      </c>
      <c r="F59">
        <v>1.7013082186777401E-5</v>
      </c>
      <c r="G59">
        <v>1.34459250329662E-2</v>
      </c>
      <c r="H59">
        <v>7.2292451645833704E-4</v>
      </c>
      <c r="I59">
        <v>9.4409586386517905E-3</v>
      </c>
      <c r="J59">
        <v>6.8131052958626303E-3</v>
      </c>
      <c r="K59">
        <v>8.1937809790970503E-4</v>
      </c>
      <c r="L59">
        <v>0</v>
      </c>
      <c r="M59">
        <v>1.6392425497363801E-3</v>
      </c>
      <c r="N59">
        <f t="shared" si="1"/>
        <v>0.1140497667455853</v>
      </c>
      <c r="O59">
        <v>1.21308402081068E-2</v>
      </c>
    </row>
    <row r="60" spans="1:15" x14ac:dyDescent="0.2">
      <c r="A60" t="s">
        <v>62</v>
      </c>
      <c r="B60" s="2" t="s">
        <v>391</v>
      </c>
      <c r="C60" t="s">
        <v>391</v>
      </c>
      <c r="D60">
        <v>0.10337113495596301</v>
      </c>
      <c r="E60">
        <v>5.3963308877663704E-3</v>
      </c>
      <c r="F60">
        <v>6.4285496135064603E-6</v>
      </c>
      <c r="G60">
        <v>2.1432974137510299E-2</v>
      </c>
      <c r="H60">
        <v>8.5888917520791897E-4</v>
      </c>
      <c r="I60">
        <v>8.6111270847986608E-3</v>
      </c>
      <c r="J60">
        <v>6.39173328624929E-3</v>
      </c>
      <c r="K60">
        <v>3.8580179252376999E-4</v>
      </c>
      <c r="L60">
        <v>2.8969366620904899E-5</v>
      </c>
      <c r="M60">
        <v>3.2013092709221999E-3</v>
      </c>
      <c r="N60">
        <f t="shared" si="1"/>
        <v>0.14968469850717589</v>
      </c>
      <c r="O60">
        <v>1.11208869895679E-2</v>
      </c>
    </row>
    <row r="61" spans="1:15" x14ac:dyDescent="0.2">
      <c r="A61" t="s">
        <v>63</v>
      </c>
      <c r="B61" s="2" t="s">
        <v>390</v>
      </c>
      <c r="C61" t="s">
        <v>390</v>
      </c>
      <c r="D61">
        <v>0.10557582475308</v>
      </c>
      <c r="E61">
        <v>6.4949210810623399E-3</v>
      </c>
      <c r="F61">
        <v>9.3634953683413997E-5</v>
      </c>
      <c r="G61">
        <v>1.69048692931618E-2</v>
      </c>
      <c r="H61">
        <v>5.9917037909259997E-4</v>
      </c>
      <c r="I61">
        <v>1.5307542853478601E-2</v>
      </c>
      <c r="J61">
        <v>9.5774742813048291E-3</v>
      </c>
      <c r="K61">
        <v>1.30613919172192E-3</v>
      </c>
      <c r="L61">
        <v>0</v>
      </c>
      <c r="M61">
        <v>4.3513283783333601E-3</v>
      </c>
      <c r="N61">
        <f t="shared" si="1"/>
        <v>0.16021090516491884</v>
      </c>
      <c r="O61">
        <v>1.4312074448674E-2</v>
      </c>
    </row>
    <row r="62" spans="1:15" x14ac:dyDescent="0.2">
      <c r="A62" t="s">
        <v>64</v>
      </c>
      <c r="B62" s="2" t="s">
        <v>390</v>
      </c>
      <c r="C62" t="s">
        <v>390</v>
      </c>
      <c r="D62">
        <v>0.106938619913739</v>
      </c>
      <c r="E62">
        <v>5.2500274775072898E-3</v>
      </c>
      <c r="F62">
        <v>1.4494525411775601E-5</v>
      </c>
      <c r="G62">
        <v>1.5604273764741499E-2</v>
      </c>
      <c r="H62">
        <v>1.52586434786296E-3</v>
      </c>
      <c r="I62">
        <v>1.1476839839164499E-2</v>
      </c>
      <c r="J62">
        <v>6.6363357204742004E-3</v>
      </c>
      <c r="K62">
        <v>1.7754822149388999E-3</v>
      </c>
      <c r="L62">
        <v>0</v>
      </c>
      <c r="M62">
        <v>3.4022224755626798E-3</v>
      </c>
      <c r="N62">
        <f t="shared" si="1"/>
        <v>0.15262416027940279</v>
      </c>
      <c r="O62">
        <v>1.88517327679536E-2</v>
      </c>
    </row>
    <row r="63" spans="1:15" x14ac:dyDescent="0.2">
      <c r="A63" t="s">
        <v>65</v>
      </c>
      <c r="B63" s="2" t="s">
        <v>390</v>
      </c>
      <c r="C63" t="s">
        <v>391</v>
      </c>
      <c r="D63">
        <v>0.101245855365974</v>
      </c>
      <c r="E63">
        <v>5.9134215394907501E-3</v>
      </c>
      <c r="F63">
        <v>3.4008227718728399E-5</v>
      </c>
      <c r="G63">
        <v>1.4643452748802899E-2</v>
      </c>
      <c r="H63">
        <v>6.5378314624106105E-4</v>
      </c>
      <c r="I63">
        <v>1.15201659929894E-2</v>
      </c>
      <c r="J63">
        <v>8.8909584896939807E-3</v>
      </c>
      <c r="K63">
        <v>5.7901373214814503E-4</v>
      </c>
      <c r="L63">
        <v>9.1736253581920999E-6</v>
      </c>
      <c r="M63">
        <v>3.5424336158757399E-3</v>
      </c>
      <c r="N63">
        <f t="shared" si="1"/>
        <v>0.14703226648429291</v>
      </c>
      <c r="O63">
        <v>1.8254352725657699E-2</v>
      </c>
    </row>
    <row r="64" spans="1:15" x14ac:dyDescent="0.2">
      <c r="A64" t="s">
        <v>66</v>
      </c>
      <c r="B64" s="2" t="s">
        <v>391</v>
      </c>
      <c r="C64" t="s">
        <v>390</v>
      </c>
      <c r="D64">
        <v>0.156923041130552</v>
      </c>
      <c r="E64">
        <v>1.13685495845095E-2</v>
      </c>
      <c r="F64">
        <v>1.7648304972072299E-4</v>
      </c>
      <c r="G64">
        <v>3.4747793341699598E-2</v>
      </c>
      <c r="H64">
        <v>4.3991047302626603E-3</v>
      </c>
      <c r="I64">
        <v>1.8038002267714001E-2</v>
      </c>
      <c r="J64">
        <v>2.04439829315054E-2</v>
      </c>
      <c r="K64">
        <v>1.2814531821410001E-3</v>
      </c>
      <c r="L64">
        <v>0</v>
      </c>
      <c r="M64">
        <v>7.8584193516737805E-3</v>
      </c>
      <c r="N64">
        <f t="shared" si="1"/>
        <v>0.25523682956977872</v>
      </c>
      <c r="O64">
        <v>5.8673321595016599E-2</v>
      </c>
    </row>
    <row r="65" spans="1:15" x14ac:dyDescent="0.2">
      <c r="A65" t="s">
        <v>67</v>
      </c>
      <c r="B65" s="2" t="s">
        <v>391</v>
      </c>
      <c r="C65" t="s">
        <v>391</v>
      </c>
      <c r="D65">
        <v>4.8386810765176202E-2</v>
      </c>
      <c r="E65">
        <v>4.5043932589449798E-3</v>
      </c>
      <c r="F65">
        <v>0</v>
      </c>
      <c r="G65">
        <v>1.67459688378187E-2</v>
      </c>
      <c r="H65">
        <v>1.1873151033413899E-3</v>
      </c>
      <c r="I65">
        <v>4.8257729766556304E-3</v>
      </c>
      <c r="J65">
        <v>8.2250948229007394E-3</v>
      </c>
      <c r="K65">
        <v>2.7240255364192997E-4</v>
      </c>
      <c r="L65">
        <v>5.05262422518344E-5</v>
      </c>
      <c r="M65">
        <v>4.0817990317599103E-3</v>
      </c>
      <c r="N65">
        <f t="shared" si="1"/>
        <v>8.8280083592491301E-2</v>
      </c>
      <c r="O65">
        <v>3.0787957270985801E-2</v>
      </c>
    </row>
    <row r="66" spans="1:15" x14ac:dyDescent="0.2">
      <c r="A66" t="s">
        <v>68</v>
      </c>
      <c r="B66" s="2" t="s">
        <v>391</v>
      </c>
      <c r="C66" t="s">
        <v>391</v>
      </c>
      <c r="D66">
        <v>5.6557772148391902E-2</v>
      </c>
      <c r="E66">
        <v>5.2725162631172603E-3</v>
      </c>
      <c r="F66">
        <v>1.0862255150526599E-4</v>
      </c>
      <c r="G66">
        <v>1.0575818769479901E-2</v>
      </c>
      <c r="H66">
        <v>1.16428111938451E-3</v>
      </c>
      <c r="I66">
        <v>1.16627611975922E-2</v>
      </c>
      <c r="J66">
        <v>7.46008183634677E-3</v>
      </c>
      <c r="K66">
        <v>7.8325021271757401E-4</v>
      </c>
      <c r="L66">
        <v>0</v>
      </c>
      <c r="M66">
        <v>3.8363359938749599E-4</v>
      </c>
      <c r="N66">
        <f t="shared" ref="N66:N84" si="2">SUM(D66:M66)</f>
        <v>9.3968737697922869E-2</v>
      </c>
      <c r="O66">
        <v>2.6087827111200099E-2</v>
      </c>
    </row>
    <row r="67" spans="1:15" x14ac:dyDescent="0.2">
      <c r="A67" t="s">
        <v>69</v>
      </c>
      <c r="B67" s="2" t="s">
        <v>390</v>
      </c>
      <c r="C67" t="s">
        <v>390</v>
      </c>
      <c r="D67">
        <v>4.2874836129017602E-2</v>
      </c>
      <c r="E67">
        <v>2.35001044289678E-3</v>
      </c>
      <c r="F67">
        <v>3.0268785796732298E-5</v>
      </c>
      <c r="G67">
        <v>7.4548352226808797E-3</v>
      </c>
      <c r="H67">
        <v>7.9253596399935097E-4</v>
      </c>
      <c r="I67">
        <v>4.21808396709896E-3</v>
      </c>
      <c r="J67">
        <v>3.9785722199713203E-3</v>
      </c>
      <c r="K67">
        <v>2.0433866797051899E-4</v>
      </c>
      <c r="L67">
        <v>7.7519627298567803E-4</v>
      </c>
      <c r="M67">
        <v>1.6893752612571599E-3</v>
      </c>
      <c r="N67">
        <f t="shared" si="2"/>
        <v>6.436805293367498E-2</v>
      </c>
      <c r="O67">
        <v>1.29502023680388E-2</v>
      </c>
    </row>
    <row r="68" spans="1:15" x14ac:dyDescent="0.2">
      <c r="A68" t="s">
        <v>7</v>
      </c>
      <c r="B68" s="2" t="s">
        <v>390</v>
      </c>
      <c r="C68" t="s">
        <v>390</v>
      </c>
      <c r="D68">
        <v>0.129006913583223</v>
      </c>
      <c r="E68">
        <v>6.6849598473066102E-3</v>
      </c>
      <c r="F68">
        <v>3.0252481219159601E-5</v>
      </c>
      <c r="G68">
        <v>2.9609344649619899E-2</v>
      </c>
      <c r="H68">
        <v>1.5783764097382601E-3</v>
      </c>
      <c r="I68">
        <v>1.27515490349522E-2</v>
      </c>
      <c r="J68">
        <v>1.1628054388613999E-2</v>
      </c>
      <c r="K68">
        <v>1.3696786768756799E-3</v>
      </c>
      <c r="L68">
        <v>0</v>
      </c>
      <c r="M68">
        <v>3.62020496126741E-3</v>
      </c>
      <c r="N68">
        <f t="shared" si="2"/>
        <v>0.19627933403281622</v>
      </c>
      <c r="O68">
        <v>2.1522682411097501E-2</v>
      </c>
    </row>
    <row r="69" spans="1:15" x14ac:dyDescent="0.2">
      <c r="A69" t="s">
        <v>70</v>
      </c>
      <c r="B69" s="2" t="s">
        <v>391</v>
      </c>
      <c r="C69" t="s">
        <v>391</v>
      </c>
      <c r="D69">
        <v>2.26198101693799E-2</v>
      </c>
      <c r="E69">
        <v>8.7272894840048697E-4</v>
      </c>
      <c r="F69">
        <v>0</v>
      </c>
      <c r="G69">
        <v>2.5753351703044999E-3</v>
      </c>
      <c r="H69">
        <v>1.24076829912273E-4</v>
      </c>
      <c r="I69">
        <v>1.5117190440231099E-3</v>
      </c>
      <c r="J69">
        <v>2.0374987799608398E-3</v>
      </c>
      <c r="K69">
        <v>1.9902094111064401E-4</v>
      </c>
      <c r="L69">
        <v>0</v>
      </c>
      <c r="M69">
        <v>1.00610933172078E-3</v>
      </c>
      <c r="N69">
        <f t="shared" si="2"/>
        <v>3.0946299214812536E-2</v>
      </c>
      <c r="O69">
        <v>3.0366289406001199E-3</v>
      </c>
    </row>
    <row r="70" spans="1:15" x14ac:dyDescent="0.2">
      <c r="A70" t="s">
        <v>71</v>
      </c>
      <c r="B70" s="2" t="s">
        <v>391</v>
      </c>
      <c r="C70" t="s">
        <v>391</v>
      </c>
      <c r="D70">
        <v>6.6480371799760393E-2</v>
      </c>
      <c r="E70">
        <v>3.8764127659530602E-3</v>
      </c>
      <c r="F70">
        <v>3.58286958243612E-5</v>
      </c>
      <c r="G70">
        <v>1.39881357879139E-2</v>
      </c>
      <c r="H70">
        <v>1.5468614893956901E-3</v>
      </c>
      <c r="I70">
        <v>8.19686639542779E-3</v>
      </c>
      <c r="J70">
        <v>7.0806947223079801E-3</v>
      </c>
      <c r="K70">
        <v>1.03363256859837E-3</v>
      </c>
      <c r="L70">
        <v>0</v>
      </c>
      <c r="M70">
        <v>2.2680049225482402E-3</v>
      </c>
      <c r="N70">
        <f t="shared" si="2"/>
        <v>0.10450680914772977</v>
      </c>
      <c r="O70">
        <v>1.8856277370027999E-2</v>
      </c>
    </row>
    <row r="71" spans="1:15" x14ac:dyDescent="0.2">
      <c r="A71" t="s">
        <v>72</v>
      </c>
      <c r="B71" s="2" t="s">
        <v>390</v>
      </c>
      <c r="C71" t="s">
        <v>390</v>
      </c>
      <c r="D71">
        <v>7.7148532902729397E-2</v>
      </c>
      <c r="E71">
        <v>3.8901989099810802E-3</v>
      </c>
      <c r="F71">
        <v>3.6370812247435299E-5</v>
      </c>
      <c r="G71">
        <v>1.0749726867883501E-2</v>
      </c>
      <c r="H71">
        <v>8.56777355728581E-4</v>
      </c>
      <c r="I71">
        <v>1.08144799973151E-2</v>
      </c>
      <c r="J71">
        <v>6.1060847800868904E-3</v>
      </c>
      <c r="K71">
        <v>1.0544030450369401E-3</v>
      </c>
      <c r="L71">
        <v>5.3000137950719201E-5</v>
      </c>
      <c r="M71">
        <v>3.2309306477288501E-3</v>
      </c>
      <c r="N71">
        <f t="shared" si="2"/>
        <v>0.11394050545668848</v>
      </c>
      <c r="O71">
        <v>1.53981322119318E-2</v>
      </c>
    </row>
    <row r="72" spans="1:15" x14ac:dyDescent="0.2">
      <c r="A72" t="s">
        <v>73</v>
      </c>
      <c r="B72" s="2" t="s">
        <v>390</v>
      </c>
      <c r="C72" t="s">
        <v>390</v>
      </c>
      <c r="D72">
        <v>4.4378883414364599E-2</v>
      </c>
      <c r="E72">
        <v>1.41437582783808E-3</v>
      </c>
      <c r="F72">
        <v>9.6418861701874793E-6</v>
      </c>
      <c r="G72">
        <v>1.272025592507E-3</v>
      </c>
      <c r="H72">
        <v>5.1078087630302598E-4</v>
      </c>
      <c r="I72">
        <v>5.0766316221735599E-3</v>
      </c>
      <c r="J72">
        <v>1.0619457772558601E-3</v>
      </c>
      <c r="K72">
        <v>9.40874885777394E-4</v>
      </c>
      <c r="L72">
        <v>3.7594126634939703E-5</v>
      </c>
      <c r="M72">
        <v>1.75969937394729E-3</v>
      </c>
      <c r="N72">
        <f t="shared" si="2"/>
        <v>5.6462453382971942E-2</v>
      </c>
      <c r="O72">
        <v>8.9506450221932404E-3</v>
      </c>
    </row>
    <row r="73" spans="1:15" x14ac:dyDescent="0.2">
      <c r="A73" t="s">
        <v>74</v>
      </c>
      <c r="B73" s="2" t="s">
        <v>390</v>
      </c>
      <c r="C73" t="s">
        <v>390</v>
      </c>
      <c r="D73">
        <v>8.9605941053352497E-2</v>
      </c>
      <c r="E73">
        <v>2.8573335975067898E-3</v>
      </c>
      <c r="F73">
        <v>1.7405849259123201E-4</v>
      </c>
      <c r="G73">
        <v>1.37753416305631E-2</v>
      </c>
      <c r="H73">
        <v>1.0402434426028701E-3</v>
      </c>
      <c r="I73">
        <v>1.2037012018406099E-2</v>
      </c>
      <c r="J73">
        <v>7.5775464682218303E-3</v>
      </c>
      <c r="K73">
        <v>1.3565841102077399E-3</v>
      </c>
      <c r="L73">
        <v>1.7182037210382501E-4</v>
      </c>
      <c r="M73">
        <v>3.87900360185709E-3</v>
      </c>
      <c r="N73">
        <f t="shared" si="2"/>
        <v>0.13247488478741309</v>
      </c>
      <c r="O73">
        <v>1.54251262701033E-2</v>
      </c>
    </row>
    <row r="74" spans="1:15" x14ac:dyDescent="0.2">
      <c r="A74" t="s">
        <v>75</v>
      </c>
      <c r="B74" s="2" t="s">
        <v>390</v>
      </c>
      <c r="C74" t="s">
        <v>391</v>
      </c>
      <c r="D74">
        <v>7.4553939231311803E-2</v>
      </c>
      <c r="E74">
        <v>3.81392259728758E-3</v>
      </c>
      <c r="F74">
        <v>3.7283270345559302E-5</v>
      </c>
      <c r="G74">
        <v>2.03076002414928E-2</v>
      </c>
      <c r="H74">
        <v>1.18914303679983E-3</v>
      </c>
      <c r="I74">
        <v>7.0869864215992104E-3</v>
      </c>
      <c r="J74">
        <v>8.2867190812211493E-3</v>
      </c>
      <c r="K74">
        <v>1.2295324519103999E-3</v>
      </c>
      <c r="L74">
        <v>9.8580015067939409E-4</v>
      </c>
      <c r="M74">
        <v>2.5424598610600401E-3</v>
      </c>
      <c r="N74">
        <f t="shared" si="2"/>
        <v>0.12003338634370778</v>
      </c>
      <c r="O74">
        <v>2.2732736558393501E-2</v>
      </c>
    </row>
    <row r="75" spans="1:15" x14ac:dyDescent="0.2">
      <c r="A75" t="s">
        <v>76</v>
      </c>
      <c r="B75" s="2" t="s">
        <v>391</v>
      </c>
      <c r="C75" t="s">
        <v>390</v>
      </c>
      <c r="D75">
        <v>9.8973064355345003E-2</v>
      </c>
      <c r="E75">
        <v>7.5176166236327604E-3</v>
      </c>
      <c r="F75">
        <v>5.41705858397343E-5</v>
      </c>
      <c r="G75">
        <v>1.37651304177409E-2</v>
      </c>
      <c r="H75">
        <v>2.43155620434184E-3</v>
      </c>
      <c r="I75">
        <v>1.8499655939034701E-2</v>
      </c>
      <c r="J75">
        <v>8.0743509588069706E-3</v>
      </c>
      <c r="K75">
        <v>1.81792779183573E-3</v>
      </c>
      <c r="L75">
        <v>3.2255739273791803E-5</v>
      </c>
      <c r="M75">
        <v>5.2587966388350201E-3</v>
      </c>
      <c r="N75">
        <f t="shared" si="2"/>
        <v>0.15642452525468645</v>
      </c>
      <c r="O75">
        <v>3.1654855083163E-2</v>
      </c>
    </row>
    <row r="76" spans="1:15" x14ac:dyDescent="0.2">
      <c r="A76" t="s">
        <v>77</v>
      </c>
      <c r="B76" s="2" t="s">
        <v>390</v>
      </c>
      <c r="C76" t="s">
        <v>390</v>
      </c>
      <c r="D76">
        <v>0.15212143088623101</v>
      </c>
      <c r="E76">
        <v>7.0709007235971802E-3</v>
      </c>
      <c r="F76">
        <v>3.4614016789817703E-5</v>
      </c>
      <c r="G76">
        <v>2.85796106412376E-2</v>
      </c>
      <c r="H76">
        <v>1.8251346646254E-3</v>
      </c>
      <c r="I76">
        <v>9.0496894585570097E-3</v>
      </c>
      <c r="J76">
        <v>1.18404529322157E-2</v>
      </c>
      <c r="K76">
        <v>1.8615157238011501E-3</v>
      </c>
      <c r="L76">
        <v>3.6151639698948198E-5</v>
      </c>
      <c r="M76">
        <v>3.7866609854780501E-3</v>
      </c>
      <c r="N76">
        <f t="shared" si="2"/>
        <v>0.21620616167223181</v>
      </c>
      <c r="O76">
        <v>2.47426990536391E-2</v>
      </c>
    </row>
    <row r="77" spans="1:15" x14ac:dyDescent="0.2">
      <c r="A77" t="s">
        <v>78</v>
      </c>
      <c r="B77" s="2" t="s">
        <v>390</v>
      </c>
      <c r="C77" t="s">
        <v>390</v>
      </c>
      <c r="D77">
        <v>7.5451926841354294E-2</v>
      </c>
      <c r="E77">
        <v>3.5416428447422898E-3</v>
      </c>
      <c r="F77">
        <v>6.6475100103604906E-5</v>
      </c>
      <c r="G77">
        <v>1.11013921357402E-2</v>
      </c>
      <c r="H77">
        <v>5.17369768272121E-4</v>
      </c>
      <c r="I77">
        <v>4.2722566427354104E-3</v>
      </c>
      <c r="J77">
        <v>2.0720892859422998E-3</v>
      </c>
      <c r="K77">
        <v>8.0046938490578601E-4</v>
      </c>
      <c r="L77">
        <v>1.03949434792891E-3</v>
      </c>
      <c r="M77">
        <v>1.6663573707173399E-3</v>
      </c>
      <c r="N77">
        <f t="shared" si="2"/>
        <v>0.10052947372244224</v>
      </c>
      <c r="O77">
        <v>1.1664458877799599E-2</v>
      </c>
    </row>
    <row r="78" spans="1:15" x14ac:dyDescent="0.2">
      <c r="A78" t="s">
        <v>79</v>
      </c>
      <c r="B78" s="2" t="s">
        <v>390</v>
      </c>
      <c r="C78" t="s">
        <v>390</v>
      </c>
      <c r="D78">
        <v>0.101107006847494</v>
      </c>
      <c r="E78">
        <v>5.2484541755771696E-3</v>
      </c>
      <c r="F78">
        <v>7.3267919425542796E-5</v>
      </c>
      <c r="G78">
        <v>2.3545081963740801E-2</v>
      </c>
      <c r="H78">
        <v>1.5868726141322301E-4</v>
      </c>
      <c r="I78">
        <v>7.3851938198214702E-3</v>
      </c>
      <c r="J78">
        <v>7.3726360714906E-3</v>
      </c>
      <c r="K78">
        <v>1.53374845525238E-3</v>
      </c>
      <c r="L78">
        <v>7.6054514793062495E-4</v>
      </c>
      <c r="M78">
        <v>3.3605344374397399E-3</v>
      </c>
      <c r="N78">
        <f t="shared" si="2"/>
        <v>0.15054515609958555</v>
      </c>
      <c r="O78">
        <v>2.1391814984211801E-2</v>
      </c>
    </row>
    <row r="79" spans="1:15" x14ac:dyDescent="0.2">
      <c r="A79" t="s">
        <v>8</v>
      </c>
      <c r="B79" s="2" t="s">
        <v>390</v>
      </c>
      <c r="C79" t="s">
        <v>390</v>
      </c>
      <c r="D79">
        <v>4.2712616436264401E-2</v>
      </c>
      <c r="E79">
        <v>2.3334476004692301E-3</v>
      </c>
      <c r="F79">
        <v>0</v>
      </c>
      <c r="G79">
        <v>4.8240660745537001E-3</v>
      </c>
      <c r="H79">
        <v>2.24414356376663E-4</v>
      </c>
      <c r="I79">
        <v>1.7120688075535899E-3</v>
      </c>
      <c r="J79">
        <v>3.1216835091076398E-3</v>
      </c>
      <c r="K79">
        <v>6.5913046960273003E-4</v>
      </c>
      <c r="L79">
        <v>7.9576530466252005E-5</v>
      </c>
      <c r="M79">
        <v>1.7274583150038499E-3</v>
      </c>
      <c r="N79">
        <f t="shared" si="2"/>
        <v>5.7394462099398059E-2</v>
      </c>
      <c r="O79">
        <v>6.7536295333453502E-3</v>
      </c>
    </row>
    <row r="80" spans="1:15" x14ac:dyDescent="0.2">
      <c r="A80" t="s">
        <v>80</v>
      </c>
      <c r="B80" s="2" t="s">
        <v>390</v>
      </c>
      <c r="C80" t="s">
        <v>390</v>
      </c>
      <c r="D80">
        <v>0.187387249841412</v>
      </c>
      <c r="E80">
        <v>9.5761988700475108E-3</v>
      </c>
      <c r="F80">
        <v>7.4663784615175795E-5</v>
      </c>
      <c r="G80">
        <v>2.94619612163231E-2</v>
      </c>
      <c r="H80">
        <v>1.6379044175093801E-3</v>
      </c>
      <c r="I80">
        <v>2.0878601795037401E-2</v>
      </c>
      <c r="J80">
        <v>1.6130581546733899E-2</v>
      </c>
      <c r="K80">
        <v>1.6930318959508001E-3</v>
      </c>
      <c r="L80">
        <v>1.98459326243804E-4</v>
      </c>
      <c r="M80">
        <v>4.2383322618591802E-3</v>
      </c>
      <c r="N80">
        <f t="shared" si="2"/>
        <v>0.27127698495573227</v>
      </c>
      <c r="O80">
        <v>2.4539335771165498E-2</v>
      </c>
    </row>
    <row r="81" spans="1:15" x14ac:dyDescent="0.2">
      <c r="A81" t="s">
        <v>82</v>
      </c>
      <c r="B81" s="2" t="s">
        <v>390</v>
      </c>
      <c r="C81" t="s">
        <v>390</v>
      </c>
      <c r="D81">
        <v>0.15412054728239599</v>
      </c>
      <c r="E81">
        <v>1.25922356670895E-2</v>
      </c>
      <c r="F81">
        <v>0</v>
      </c>
      <c r="G81">
        <v>2.9902193095777602E-2</v>
      </c>
      <c r="H81">
        <v>9.792547807726149E-4</v>
      </c>
      <c r="I81">
        <v>1.8700624520114201E-2</v>
      </c>
      <c r="J81">
        <v>1.6818158386209502E-2</v>
      </c>
      <c r="K81">
        <v>1.64842229646464E-3</v>
      </c>
      <c r="L81">
        <v>1.9126257567877501E-5</v>
      </c>
      <c r="M81">
        <v>5.4751139479561704E-3</v>
      </c>
      <c r="N81">
        <f t="shared" si="2"/>
        <v>0.2402556762343481</v>
      </c>
      <c r="O81">
        <v>3.1014468372611102E-2</v>
      </c>
    </row>
    <row r="82" spans="1:15" x14ac:dyDescent="0.2">
      <c r="A82" t="s">
        <v>83</v>
      </c>
      <c r="B82" s="2" t="s">
        <v>391</v>
      </c>
      <c r="C82" t="s">
        <v>391</v>
      </c>
      <c r="D82">
        <v>9.2635145775128394E-2</v>
      </c>
      <c r="E82">
        <v>6.80678266190376E-3</v>
      </c>
      <c r="F82">
        <v>0</v>
      </c>
      <c r="G82">
        <v>1.97006762143217E-2</v>
      </c>
      <c r="H82">
        <v>1.51771950953241E-3</v>
      </c>
      <c r="I82">
        <v>7.5539921772222402E-3</v>
      </c>
      <c r="J82">
        <v>7.4293853101540502E-3</v>
      </c>
      <c r="K82">
        <v>1.2967922972115401E-3</v>
      </c>
      <c r="L82">
        <v>7.9221488838413E-4</v>
      </c>
      <c r="M82">
        <v>3.5741012025070598E-3</v>
      </c>
      <c r="N82">
        <f t="shared" si="2"/>
        <v>0.1413068100363653</v>
      </c>
      <c r="O82">
        <v>1.81010477014323E-2</v>
      </c>
    </row>
    <row r="83" spans="1:15" x14ac:dyDescent="0.2">
      <c r="A83" t="s">
        <v>84</v>
      </c>
      <c r="B83" s="2" t="s">
        <v>391</v>
      </c>
      <c r="C83" t="s">
        <v>391</v>
      </c>
      <c r="D83">
        <v>8.3047032294259804E-2</v>
      </c>
      <c r="E83">
        <v>5.9919760812418999E-3</v>
      </c>
      <c r="F83">
        <v>0</v>
      </c>
      <c r="G83">
        <v>1.34073960827525E-2</v>
      </c>
      <c r="H83">
        <v>6.4841982788296098E-4</v>
      </c>
      <c r="I83">
        <v>7.9490180720846997E-3</v>
      </c>
      <c r="J83">
        <v>5.99207373778187E-3</v>
      </c>
      <c r="K83">
        <v>2.4905436978121597E-4</v>
      </c>
      <c r="L83">
        <v>0</v>
      </c>
      <c r="M83">
        <v>3.97948396711993E-3</v>
      </c>
      <c r="N83">
        <f t="shared" si="2"/>
        <v>0.12126445443290489</v>
      </c>
      <c r="O83">
        <v>1.4107338976594899E-2</v>
      </c>
    </row>
    <row r="84" spans="1:15" x14ac:dyDescent="0.2">
      <c r="A84" t="s">
        <v>9</v>
      </c>
      <c r="B84" s="2" t="s">
        <v>390</v>
      </c>
      <c r="C84" t="s">
        <v>390</v>
      </c>
      <c r="D84">
        <v>3.2175254762840097E-2</v>
      </c>
      <c r="E84">
        <v>1.3680648258077199E-3</v>
      </c>
      <c r="F84">
        <v>0</v>
      </c>
      <c r="G84">
        <v>6.9175395567946801E-3</v>
      </c>
      <c r="H84">
        <v>2.8026945570524099E-4</v>
      </c>
      <c r="I84">
        <v>3.6103877818420699E-3</v>
      </c>
      <c r="J84">
        <v>5.3807579812027901E-4</v>
      </c>
      <c r="K84">
        <v>3.5562751477762403E-4</v>
      </c>
      <c r="L84">
        <v>0</v>
      </c>
      <c r="M84">
        <v>6.5961934979460795E-4</v>
      </c>
      <c r="N84">
        <f t="shared" si="2"/>
        <v>4.5904839045682322E-2</v>
      </c>
      <c r="O84">
        <v>5.7796247852905398E-3</v>
      </c>
    </row>
  </sheetData>
  <sortState xmlns:xlrd2="http://schemas.microsoft.com/office/spreadsheetml/2017/richdata2" ref="A2:O84">
    <sortCondition ref="A1:A84"/>
  </sortState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7BEBC-41B3-4F51-8429-D4A6D42BC328}">
  <dimension ref="A1:K85"/>
  <sheetViews>
    <sheetView workbookViewId="0">
      <selection activeCell="H8" sqref="H8"/>
    </sheetView>
  </sheetViews>
  <sheetFormatPr defaultRowHeight="14.25" x14ac:dyDescent="0.2"/>
  <sheetData>
    <row r="1" spans="1:11" x14ac:dyDescent="0.2">
      <c r="A1" t="s">
        <v>389</v>
      </c>
      <c r="B1" t="s">
        <v>360</v>
      </c>
      <c r="C1" t="s">
        <v>361</v>
      </c>
      <c r="D1" t="s">
        <v>362</v>
      </c>
      <c r="E1" t="s">
        <v>363</v>
      </c>
      <c r="F1" t="s">
        <v>364</v>
      </c>
      <c r="G1" t="s">
        <v>187</v>
      </c>
      <c r="H1" t="s">
        <v>254</v>
      </c>
      <c r="I1" t="s">
        <v>365</v>
      </c>
      <c r="J1" t="s">
        <v>366</v>
      </c>
      <c r="K1" t="s">
        <v>367</v>
      </c>
    </row>
    <row r="2" spans="1:11" x14ac:dyDescent="0.2">
      <c r="A2" t="s">
        <v>1</v>
      </c>
      <c r="B2">
        <v>18</v>
      </c>
      <c r="C2">
        <v>8</v>
      </c>
      <c r="D2">
        <v>2</v>
      </c>
      <c r="E2">
        <v>4</v>
      </c>
      <c r="F2">
        <v>5</v>
      </c>
      <c r="G2">
        <v>9</v>
      </c>
      <c r="H2">
        <v>15</v>
      </c>
      <c r="I2">
        <v>6</v>
      </c>
      <c r="J2">
        <v>2</v>
      </c>
      <c r="K2">
        <v>7</v>
      </c>
    </row>
    <row r="3" spans="1:11" x14ac:dyDescent="0.2">
      <c r="A3" t="s">
        <v>2</v>
      </c>
      <c r="B3">
        <v>18</v>
      </c>
      <c r="C3">
        <v>7</v>
      </c>
      <c r="D3">
        <v>2</v>
      </c>
      <c r="E3">
        <v>3</v>
      </c>
      <c r="F3">
        <v>6</v>
      </c>
      <c r="G3">
        <v>13</v>
      </c>
      <c r="H3">
        <v>13</v>
      </c>
      <c r="I3">
        <v>5</v>
      </c>
      <c r="J3">
        <v>2</v>
      </c>
      <c r="K3">
        <v>7</v>
      </c>
    </row>
    <row r="4" spans="1:11" x14ac:dyDescent="0.2">
      <c r="A4" t="s">
        <v>3</v>
      </c>
      <c r="B4">
        <v>25</v>
      </c>
      <c r="C4">
        <v>17</v>
      </c>
      <c r="D4">
        <v>3</v>
      </c>
      <c r="E4">
        <v>4</v>
      </c>
      <c r="F4">
        <v>6</v>
      </c>
      <c r="G4">
        <v>16</v>
      </c>
      <c r="H4">
        <v>17</v>
      </c>
      <c r="I4">
        <v>6</v>
      </c>
      <c r="J4">
        <v>2</v>
      </c>
      <c r="K4">
        <v>4</v>
      </c>
    </row>
    <row r="5" spans="1:11" x14ac:dyDescent="0.2">
      <c r="A5" t="s">
        <v>4</v>
      </c>
      <c r="B5">
        <v>23</v>
      </c>
      <c r="C5">
        <v>11</v>
      </c>
      <c r="D5">
        <v>3</v>
      </c>
      <c r="E5">
        <v>3</v>
      </c>
      <c r="F5">
        <v>4</v>
      </c>
      <c r="G5">
        <v>15</v>
      </c>
      <c r="H5">
        <v>15</v>
      </c>
      <c r="I5">
        <v>7</v>
      </c>
      <c r="J5">
        <v>2</v>
      </c>
      <c r="K5">
        <v>7</v>
      </c>
    </row>
    <row r="6" spans="1:11" x14ac:dyDescent="0.2">
      <c r="A6" t="s">
        <v>5</v>
      </c>
      <c r="B6">
        <v>20</v>
      </c>
      <c r="C6">
        <v>5</v>
      </c>
      <c r="D6">
        <v>1</v>
      </c>
      <c r="E6">
        <v>3</v>
      </c>
      <c r="F6">
        <v>3</v>
      </c>
      <c r="G6">
        <v>9</v>
      </c>
      <c r="H6">
        <v>11</v>
      </c>
      <c r="I6">
        <v>6</v>
      </c>
      <c r="J6">
        <v>2</v>
      </c>
      <c r="K6">
        <v>4</v>
      </c>
    </row>
    <row r="7" spans="1:11" x14ac:dyDescent="0.2">
      <c r="A7" t="s">
        <v>6</v>
      </c>
      <c r="B7">
        <v>16</v>
      </c>
      <c r="C7">
        <v>8</v>
      </c>
      <c r="D7">
        <v>0</v>
      </c>
      <c r="E7">
        <v>1</v>
      </c>
      <c r="F7">
        <v>5</v>
      </c>
      <c r="G7">
        <v>10</v>
      </c>
      <c r="H7">
        <v>14</v>
      </c>
      <c r="I7">
        <v>4</v>
      </c>
      <c r="J7">
        <v>3</v>
      </c>
      <c r="K7">
        <v>5</v>
      </c>
    </row>
    <row r="8" spans="1:11" x14ac:dyDescent="0.2">
      <c r="A8" t="s">
        <v>7</v>
      </c>
      <c r="B8">
        <v>20</v>
      </c>
      <c r="C8">
        <v>11</v>
      </c>
      <c r="D8">
        <v>1</v>
      </c>
      <c r="E8">
        <v>3</v>
      </c>
      <c r="F8">
        <v>5</v>
      </c>
      <c r="G8">
        <v>8</v>
      </c>
      <c r="H8">
        <v>13</v>
      </c>
      <c r="I8">
        <v>5</v>
      </c>
      <c r="J8">
        <v>0</v>
      </c>
      <c r="K8">
        <v>4</v>
      </c>
    </row>
    <row r="9" spans="1:11" x14ac:dyDescent="0.2">
      <c r="A9" t="s">
        <v>8</v>
      </c>
      <c r="B9">
        <v>14</v>
      </c>
      <c r="C9">
        <v>7</v>
      </c>
      <c r="D9">
        <v>0</v>
      </c>
      <c r="E9">
        <v>2</v>
      </c>
      <c r="F9">
        <v>4</v>
      </c>
      <c r="G9">
        <v>5</v>
      </c>
      <c r="H9">
        <v>10</v>
      </c>
      <c r="I9">
        <v>3</v>
      </c>
      <c r="J9">
        <v>1</v>
      </c>
      <c r="K9">
        <v>10</v>
      </c>
    </row>
    <row r="10" spans="1:11" x14ac:dyDescent="0.2">
      <c r="A10" t="s">
        <v>9</v>
      </c>
      <c r="B10">
        <v>17</v>
      </c>
      <c r="C10">
        <v>9</v>
      </c>
      <c r="D10">
        <v>0</v>
      </c>
      <c r="E10">
        <v>3</v>
      </c>
      <c r="F10">
        <v>5</v>
      </c>
      <c r="G10">
        <v>7</v>
      </c>
      <c r="H10">
        <v>6</v>
      </c>
      <c r="I10">
        <v>5</v>
      </c>
      <c r="J10">
        <v>0</v>
      </c>
      <c r="K10">
        <v>4</v>
      </c>
    </row>
    <row r="11" spans="1:11" x14ac:dyDescent="0.2">
      <c r="A11" t="s">
        <v>10</v>
      </c>
      <c r="B11">
        <v>12</v>
      </c>
      <c r="C11">
        <v>5</v>
      </c>
      <c r="D11">
        <v>0</v>
      </c>
      <c r="E11">
        <v>2</v>
      </c>
      <c r="F11">
        <v>4</v>
      </c>
      <c r="G11">
        <v>6</v>
      </c>
      <c r="H11">
        <v>7</v>
      </c>
      <c r="I11">
        <v>3</v>
      </c>
      <c r="J11">
        <v>1</v>
      </c>
      <c r="K11">
        <v>4</v>
      </c>
    </row>
    <row r="12" spans="1:11" x14ac:dyDescent="0.2">
      <c r="A12" t="s">
        <v>11</v>
      </c>
      <c r="B12">
        <v>13</v>
      </c>
      <c r="C12">
        <v>6</v>
      </c>
      <c r="D12">
        <v>0</v>
      </c>
      <c r="E12">
        <v>2</v>
      </c>
      <c r="F12">
        <v>3</v>
      </c>
      <c r="G12">
        <v>8</v>
      </c>
      <c r="H12">
        <v>12</v>
      </c>
      <c r="I12">
        <v>2</v>
      </c>
      <c r="J12">
        <v>1</v>
      </c>
      <c r="K12">
        <v>4</v>
      </c>
    </row>
    <row r="13" spans="1:11" x14ac:dyDescent="0.2">
      <c r="A13" t="s">
        <v>12</v>
      </c>
      <c r="B13">
        <v>24</v>
      </c>
      <c r="C13">
        <v>11</v>
      </c>
      <c r="D13">
        <v>0</v>
      </c>
      <c r="E13">
        <v>3</v>
      </c>
      <c r="F13">
        <v>5</v>
      </c>
      <c r="G13">
        <v>19</v>
      </c>
      <c r="H13">
        <v>16</v>
      </c>
      <c r="I13">
        <v>5</v>
      </c>
      <c r="J13">
        <v>2</v>
      </c>
      <c r="K13">
        <v>6</v>
      </c>
    </row>
    <row r="14" spans="1:11" x14ac:dyDescent="0.2">
      <c r="A14" t="s">
        <v>13</v>
      </c>
      <c r="B14">
        <v>26</v>
      </c>
      <c r="C14">
        <v>8</v>
      </c>
      <c r="D14">
        <v>3</v>
      </c>
      <c r="E14">
        <v>1</v>
      </c>
      <c r="F14">
        <v>6</v>
      </c>
      <c r="G14">
        <v>12</v>
      </c>
      <c r="H14">
        <v>11</v>
      </c>
      <c r="I14">
        <v>7</v>
      </c>
      <c r="J14">
        <v>2</v>
      </c>
      <c r="K14">
        <v>8</v>
      </c>
    </row>
    <row r="15" spans="1:11" x14ac:dyDescent="0.2">
      <c r="A15" t="s">
        <v>14</v>
      </c>
      <c r="B15">
        <v>22</v>
      </c>
      <c r="C15">
        <v>7</v>
      </c>
      <c r="D15">
        <v>1</v>
      </c>
      <c r="E15">
        <v>3</v>
      </c>
      <c r="F15">
        <v>5</v>
      </c>
      <c r="G15">
        <v>10</v>
      </c>
      <c r="H15">
        <v>16</v>
      </c>
      <c r="I15">
        <v>5</v>
      </c>
      <c r="J15">
        <v>1</v>
      </c>
      <c r="K15">
        <v>8</v>
      </c>
    </row>
    <row r="16" spans="1:11" x14ac:dyDescent="0.2">
      <c r="A16" t="s">
        <v>15</v>
      </c>
      <c r="B16">
        <v>23</v>
      </c>
      <c r="C16">
        <v>9</v>
      </c>
      <c r="D16">
        <v>2</v>
      </c>
      <c r="E16">
        <v>4</v>
      </c>
      <c r="F16">
        <v>5</v>
      </c>
      <c r="G16">
        <v>8</v>
      </c>
      <c r="H16">
        <v>15</v>
      </c>
      <c r="I16">
        <v>6</v>
      </c>
      <c r="J16">
        <v>2</v>
      </c>
      <c r="K16">
        <v>9</v>
      </c>
    </row>
    <row r="17" spans="1:11" x14ac:dyDescent="0.2">
      <c r="A17" t="s">
        <v>16</v>
      </c>
      <c r="B17">
        <v>21</v>
      </c>
      <c r="C17">
        <v>9</v>
      </c>
      <c r="D17">
        <v>3</v>
      </c>
      <c r="E17">
        <v>3</v>
      </c>
      <c r="F17">
        <v>5</v>
      </c>
      <c r="G17">
        <v>9</v>
      </c>
      <c r="H17">
        <v>16</v>
      </c>
      <c r="I17">
        <v>5</v>
      </c>
      <c r="J17">
        <v>2</v>
      </c>
      <c r="K17">
        <v>6</v>
      </c>
    </row>
    <row r="18" spans="1:11" x14ac:dyDescent="0.2">
      <c r="A18" t="s">
        <v>17</v>
      </c>
      <c r="B18">
        <v>23</v>
      </c>
      <c r="C18">
        <v>11</v>
      </c>
      <c r="D18">
        <v>1</v>
      </c>
      <c r="E18">
        <v>4</v>
      </c>
      <c r="F18">
        <v>5</v>
      </c>
      <c r="G18">
        <v>12</v>
      </c>
      <c r="H18">
        <v>14</v>
      </c>
      <c r="I18">
        <v>6</v>
      </c>
      <c r="J18">
        <v>2</v>
      </c>
      <c r="K18">
        <v>9</v>
      </c>
    </row>
    <row r="19" spans="1:11" x14ac:dyDescent="0.2">
      <c r="A19" t="s">
        <v>18</v>
      </c>
      <c r="B19">
        <v>23</v>
      </c>
      <c r="C19">
        <v>9</v>
      </c>
      <c r="D19">
        <v>3</v>
      </c>
      <c r="E19">
        <v>3</v>
      </c>
      <c r="F19">
        <v>4</v>
      </c>
      <c r="G19">
        <v>14</v>
      </c>
      <c r="H19">
        <v>16</v>
      </c>
      <c r="I19">
        <v>4</v>
      </c>
      <c r="J19">
        <v>2</v>
      </c>
      <c r="K19">
        <v>8</v>
      </c>
    </row>
    <row r="20" spans="1:11" x14ac:dyDescent="0.2">
      <c r="A20" t="s">
        <v>19</v>
      </c>
      <c r="B20">
        <v>24</v>
      </c>
      <c r="C20">
        <v>8</v>
      </c>
      <c r="D20">
        <v>4</v>
      </c>
      <c r="E20">
        <v>2</v>
      </c>
      <c r="F20">
        <v>6</v>
      </c>
      <c r="G20">
        <v>12</v>
      </c>
      <c r="H20">
        <v>11</v>
      </c>
      <c r="I20">
        <v>1</v>
      </c>
      <c r="J20">
        <v>2</v>
      </c>
      <c r="K20">
        <v>10</v>
      </c>
    </row>
    <row r="21" spans="1:11" x14ac:dyDescent="0.2">
      <c r="A21" t="s">
        <v>20</v>
      </c>
      <c r="B21">
        <v>10</v>
      </c>
      <c r="C21">
        <v>9</v>
      </c>
      <c r="D21">
        <v>0</v>
      </c>
      <c r="E21">
        <v>2</v>
      </c>
      <c r="F21">
        <v>2</v>
      </c>
      <c r="G21">
        <v>12</v>
      </c>
      <c r="H21">
        <v>11</v>
      </c>
      <c r="I21">
        <v>3</v>
      </c>
      <c r="J21">
        <v>2</v>
      </c>
      <c r="K21">
        <v>7</v>
      </c>
    </row>
    <row r="22" spans="1:11" x14ac:dyDescent="0.2">
      <c r="A22" t="s">
        <v>21</v>
      </c>
      <c r="B22">
        <v>17</v>
      </c>
      <c r="C22">
        <v>11</v>
      </c>
      <c r="D22">
        <v>0</v>
      </c>
      <c r="E22">
        <v>3</v>
      </c>
      <c r="F22">
        <v>4</v>
      </c>
      <c r="G22">
        <v>9</v>
      </c>
      <c r="H22">
        <v>11</v>
      </c>
      <c r="I22">
        <v>5</v>
      </c>
      <c r="J22">
        <v>2</v>
      </c>
      <c r="K22">
        <v>5</v>
      </c>
    </row>
    <row r="23" spans="1:11" x14ac:dyDescent="0.2">
      <c r="A23" t="s">
        <v>22</v>
      </c>
      <c r="B23">
        <v>20</v>
      </c>
      <c r="C23">
        <v>6</v>
      </c>
      <c r="D23">
        <v>2</v>
      </c>
      <c r="E23">
        <v>5</v>
      </c>
      <c r="F23">
        <v>5</v>
      </c>
      <c r="G23">
        <v>9</v>
      </c>
      <c r="H23">
        <v>13</v>
      </c>
      <c r="I23">
        <v>6</v>
      </c>
      <c r="J23">
        <v>2</v>
      </c>
      <c r="K23">
        <v>5</v>
      </c>
    </row>
    <row r="24" spans="1:11" x14ac:dyDescent="0.2">
      <c r="A24" t="s">
        <v>23</v>
      </c>
      <c r="B24">
        <v>22</v>
      </c>
      <c r="C24">
        <v>10</v>
      </c>
      <c r="D24">
        <v>2</v>
      </c>
      <c r="E24">
        <v>3</v>
      </c>
      <c r="F24">
        <v>6</v>
      </c>
      <c r="G24">
        <v>8</v>
      </c>
      <c r="H24">
        <v>21</v>
      </c>
      <c r="I24">
        <v>3</v>
      </c>
      <c r="J24">
        <v>1</v>
      </c>
      <c r="K24">
        <v>3</v>
      </c>
    </row>
    <row r="25" spans="1:11" x14ac:dyDescent="0.2">
      <c r="A25" t="s">
        <v>24</v>
      </c>
      <c r="B25">
        <v>26</v>
      </c>
      <c r="C25">
        <v>10</v>
      </c>
      <c r="D25">
        <v>1</v>
      </c>
      <c r="E25">
        <v>2</v>
      </c>
      <c r="F25">
        <v>5</v>
      </c>
      <c r="G25">
        <v>13</v>
      </c>
      <c r="H25">
        <v>11</v>
      </c>
      <c r="I25">
        <v>4</v>
      </c>
      <c r="J25">
        <v>2</v>
      </c>
      <c r="K25">
        <v>8</v>
      </c>
    </row>
    <row r="26" spans="1:11" x14ac:dyDescent="0.2">
      <c r="A26" t="s">
        <v>25</v>
      </c>
      <c r="B26">
        <v>18</v>
      </c>
      <c r="C26">
        <v>14</v>
      </c>
      <c r="D26">
        <v>1</v>
      </c>
      <c r="E26">
        <v>2</v>
      </c>
      <c r="F26">
        <v>7</v>
      </c>
      <c r="G26">
        <v>10</v>
      </c>
      <c r="H26">
        <v>16</v>
      </c>
      <c r="I26">
        <v>5</v>
      </c>
      <c r="J26">
        <v>1</v>
      </c>
      <c r="K26">
        <v>8</v>
      </c>
    </row>
    <row r="27" spans="1:11" x14ac:dyDescent="0.2">
      <c r="A27" t="s">
        <v>26</v>
      </c>
      <c r="B27">
        <v>16</v>
      </c>
      <c r="C27">
        <v>11</v>
      </c>
      <c r="D27">
        <v>1</v>
      </c>
      <c r="E27">
        <v>3</v>
      </c>
      <c r="F27">
        <v>5</v>
      </c>
      <c r="G27">
        <v>11</v>
      </c>
      <c r="H27">
        <v>16</v>
      </c>
      <c r="I27">
        <v>4</v>
      </c>
      <c r="J27">
        <v>2</v>
      </c>
      <c r="K27">
        <v>5</v>
      </c>
    </row>
    <row r="28" spans="1:11" x14ac:dyDescent="0.2">
      <c r="A28" t="s">
        <v>27</v>
      </c>
      <c r="B28">
        <v>22</v>
      </c>
      <c r="C28">
        <v>12</v>
      </c>
      <c r="D28">
        <v>3</v>
      </c>
      <c r="E28">
        <v>2</v>
      </c>
      <c r="F28">
        <v>6</v>
      </c>
      <c r="G28">
        <v>15</v>
      </c>
      <c r="H28">
        <v>19</v>
      </c>
      <c r="I28">
        <v>4</v>
      </c>
      <c r="J28">
        <v>2</v>
      </c>
      <c r="K28">
        <v>11</v>
      </c>
    </row>
    <row r="29" spans="1:11" x14ac:dyDescent="0.2">
      <c r="A29" t="s">
        <v>28</v>
      </c>
      <c r="B29">
        <v>18</v>
      </c>
      <c r="C29">
        <v>13</v>
      </c>
      <c r="D29">
        <v>1</v>
      </c>
      <c r="E29">
        <v>2</v>
      </c>
      <c r="F29">
        <v>5</v>
      </c>
      <c r="G29">
        <v>11</v>
      </c>
      <c r="H29">
        <v>16</v>
      </c>
      <c r="I29">
        <v>4</v>
      </c>
      <c r="J29">
        <v>0</v>
      </c>
      <c r="K29">
        <v>6</v>
      </c>
    </row>
    <row r="30" spans="1:11" x14ac:dyDescent="0.2">
      <c r="A30" t="s">
        <v>29</v>
      </c>
      <c r="B30">
        <v>16</v>
      </c>
      <c r="C30">
        <v>9</v>
      </c>
      <c r="D30">
        <v>1</v>
      </c>
      <c r="E30">
        <v>3</v>
      </c>
      <c r="F30">
        <v>6</v>
      </c>
      <c r="G30">
        <v>9</v>
      </c>
      <c r="H30">
        <v>14</v>
      </c>
      <c r="I30">
        <v>5</v>
      </c>
      <c r="J30">
        <v>0</v>
      </c>
      <c r="K30">
        <v>2</v>
      </c>
    </row>
    <row r="31" spans="1:11" x14ac:dyDescent="0.2">
      <c r="A31" t="s">
        <v>30</v>
      </c>
      <c r="B31">
        <v>15</v>
      </c>
      <c r="C31">
        <v>7</v>
      </c>
      <c r="D31">
        <v>0</v>
      </c>
      <c r="E31">
        <v>3</v>
      </c>
      <c r="F31">
        <v>3</v>
      </c>
      <c r="G31">
        <v>9</v>
      </c>
      <c r="H31">
        <v>15</v>
      </c>
      <c r="I31">
        <v>5</v>
      </c>
      <c r="J31">
        <v>0</v>
      </c>
      <c r="K31">
        <v>5</v>
      </c>
    </row>
    <row r="32" spans="1:11" x14ac:dyDescent="0.2">
      <c r="A32" t="s">
        <v>31</v>
      </c>
      <c r="B32">
        <v>18</v>
      </c>
      <c r="C32">
        <v>5</v>
      </c>
      <c r="D32">
        <v>1</v>
      </c>
      <c r="E32">
        <v>3</v>
      </c>
      <c r="F32">
        <v>5</v>
      </c>
      <c r="G32">
        <v>10</v>
      </c>
      <c r="H32">
        <v>10</v>
      </c>
      <c r="I32">
        <v>6</v>
      </c>
      <c r="J32">
        <v>1</v>
      </c>
      <c r="K32">
        <v>3</v>
      </c>
    </row>
    <row r="33" spans="1:11" x14ac:dyDescent="0.2">
      <c r="A33" t="s">
        <v>32</v>
      </c>
      <c r="B33">
        <v>14</v>
      </c>
      <c r="C33">
        <v>9</v>
      </c>
      <c r="D33">
        <v>0</v>
      </c>
      <c r="E33">
        <v>3</v>
      </c>
      <c r="F33">
        <v>5</v>
      </c>
      <c r="G33">
        <v>9</v>
      </c>
      <c r="H33">
        <v>13</v>
      </c>
      <c r="I33">
        <v>5</v>
      </c>
      <c r="J33">
        <v>2</v>
      </c>
      <c r="K33">
        <v>6</v>
      </c>
    </row>
    <row r="34" spans="1:11" x14ac:dyDescent="0.2">
      <c r="A34" t="s">
        <v>33</v>
      </c>
      <c r="B34">
        <v>15</v>
      </c>
      <c r="C34">
        <v>10</v>
      </c>
      <c r="D34">
        <v>2</v>
      </c>
      <c r="E34">
        <v>3</v>
      </c>
      <c r="F34">
        <v>7</v>
      </c>
      <c r="G34">
        <v>9</v>
      </c>
      <c r="H34">
        <v>15</v>
      </c>
      <c r="I34">
        <v>6</v>
      </c>
      <c r="J34">
        <v>0</v>
      </c>
      <c r="K34">
        <v>4</v>
      </c>
    </row>
    <row r="35" spans="1:11" x14ac:dyDescent="0.2">
      <c r="A35" t="s">
        <v>34</v>
      </c>
      <c r="B35">
        <v>16</v>
      </c>
      <c r="C35">
        <v>10</v>
      </c>
      <c r="D35">
        <v>0</v>
      </c>
      <c r="E35">
        <v>3</v>
      </c>
      <c r="F35">
        <v>4</v>
      </c>
      <c r="G35">
        <v>10</v>
      </c>
      <c r="H35">
        <v>15</v>
      </c>
      <c r="I35">
        <v>4</v>
      </c>
      <c r="J35">
        <v>0</v>
      </c>
      <c r="K35">
        <v>4</v>
      </c>
    </row>
    <row r="36" spans="1:11" x14ac:dyDescent="0.2">
      <c r="A36" t="s">
        <v>35</v>
      </c>
      <c r="B36">
        <v>15</v>
      </c>
      <c r="C36">
        <v>8</v>
      </c>
      <c r="D36">
        <v>2</v>
      </c>
      <c r="E36">
        <v>3</v>
      </c>
      <c r="F36">
        <v>5</v>
      </c>
      <c r="G36">
        <v>6</v>
      </c>
      <c r="H36">
        <v>12</v>
      </c>
      <c r="I36">
        <v>4</v>
      </c>
      <c r="J36">
        <v>1</v>
      </c>
      <c r="K36">
        <v>5</v>
      </c>
    </row>
    <row r="37" spans="1:11" x14ac:dyDescent="0.2">
      <c r="A37" t="s">
        <v>36</v>
      </c>
      <c r="B37">
        <v>15</v>
      </c>
      <c r="C37">
        <v>9</v>
      </c>
      <c r="D37">
        <v>2</v>
      </c>
      <c r="E37">
        <v>3</v>
      </c>
      <c r="F37">
        <v>5</v>
      </c>
      <c r="G37">
        <v>9</v>
      </c>
      <c r="H37">
        <v>13</v>
      </c>
      <c r="I37">
        <v>4</v>
      </c>
      <c r="J37">
        <v>0</v>
      </c>
      <c r="K37">
        <v>3</v>
      </c>
    </row>
    <row r="38" spans="1:11" x14ac:dyDescent="0.2">
      <c r="A38" t="s">
        <v>37</v>
      </c>
      <c r="B38">
        <v>21</v>
      </c>
      <c r="C38">
        <v>7</v>
      </c>
      <c r="D38">
        <v>1</v>
      </c>
      <c r="E38">
        <v>1</v>
      </c>
      <c r="F38">
        <v>3</v>
      </c>
      <c r="G38">
        <v>8</v>
      </c>
      <c r="H38">
        <v>13</v>
      </c>
      <c r="I38">
        <v>3</v>
      </c>
      <c r="J38">
        <v>2</v>
      </c>
      <c r="K38">
        <v>4</v>
      </c>
    </row>
    <row r="39" spans="1:11" x14ac:dyDescent="0.2">
      <c r="A39" t="s">
        <v>38</v>
      </c>
      <c r="B39">
        <v>21</v>
      </c>
      <c r="C39">
        <v>11</v>
      </c>
      <c r="D39">
        <v>1</v>
      </c>
      <c r="E39">
        <v>2</v>
      </c>
      <c r="F39">
        <v>4</v>
      </c>
      <c r="G39">
        <v>6</v>
      </c>
      <c r="H39">
        <v>13</v>
      </c>
      <c r="I39">
        <v>4</v>
      </c>
      <c r="J39">
        <v>2</v>
      </c>
      <c r="K39">
        <v>5</v>
      </c>
    </row>
    <row r="40" spans="1:11" x14ac:dyDescent="0.2">
      <c r="A40" t="s">
        <v>39</v>
      </c>
      <c r="B40">
        <v>7</v>
      </c>
      <c r="C40">
        <v>1</v>
      </c>
      <c r="D40">
        <v>0</v>
      </c>
      <c r="E40">
        <v>1</v>
      </c>
      <c r="F40">
        <v>2</v>
      </c>
      <c r="G40">
        <v>4</v>
      </c>
      <c r="H40">
        <v>6</v>
      </c>
      <c r="I40">
        <v>3</v>
      </c>
      <c r="J40">
        <v>0</v>
      </c>
      <c r="K40">
        <v>2</v>
      </c>
    </row>
    <row r="41" spans="1:11" x14ac:dyDescent="0.2">
      <c r="A41" t="s">
        <v>40</v>
      </c>
      <c r="B41">
        <v>14</v>
      </c>
      <c r="C41">
        <v>6</v>
      </c>
      <c r="D41">
        <v>2</v>
      </c>
      <c r="E41">
        <v>3</v>
      </c>
      <c r="F41">
        <v>1</v>
      </c>
      <c r="G41">
        <v>5</v>
      </c>
      <c r="H41">
        <v>8</v>
      </c>
      <c r="I41">
        <v>6</v>
      </c>
      <c r="J41">
        <v>1</v>
      </c>
      <c r="K41">
        <v>3</v>
      </c>
    </row>
    <row r="42" spans="1:11" x14ac:dyDescent="0.2">
      <c r="A42" t="s">
        <v>41</v>
      </c>
      <c r="B42">
        <v>17</v>
      </c>
      <c r="C42">
        <v>12</v>
      </c>
      <c r="D42">
        <v>2</v>
      </c>
      <c r="E42">
        <v>2</v>
      </c>
      <c r="F42">
        <v>4</v>
      </c>
      <c r="G42">
        <v>8</v>
      </c>
      <c r="H42">
        <v>14</v>
      </c>
      <c r="I42">
        <v>7</v>
      </c>
      <c r="J42">
        <v>0</v>
      </c>
      <c r="K42">
        <v>3</v>
      </c>
    </row>
    <row r="43" spans="1:11" x14ac:dyDescent="0.2">
      <c r="A43" t="s">
        <v>42</v>
      </c>
      <c r="B43">
        <v>19</v>
      </c>
      <c r="C43">
        <v>6</v>
      </c>
      <c r="D43">
        <v>1</v>
      </c>
      <c r="E43">
        <v>3</v>
      </c>
      <c r="F43">
        <v>4</v>
      </c>
      <c r="G43">
        <v>15</v>
      </c>
      <c r="H43">
        <v>12</v>
      </c>
      <c r="I43">
        <v>6</v>
      </c>
      <c r="J43">
        <v>2</v>
      </c>
      <c r="K43">
        <v>8</v>
      </c>
    </row>
    <row r="44" spans="1:11" x14ac:dyDescent="0.2">
      <c r="A44" t="s">
        <v>43</v>
      </c>
      <c r="B44">
        <v>16</v>
      </c>
      <c r="C44">
        <v>7</v>
      </c>
      <c r="D44">
        <v>1</v>
      </c>
      <c r="E44">
        <v>3</v>
      </c>
      <c r="F44">
        <v>3</v>
      </c>
      <c r="G44">
        <v>8</v>
      </c>
      <c r="H44">
        <v>11</v>
      </c>
      <c r="I44">
        <v>7</v>
      </c>
      <c r="J44">
        <v>0</v>
      </c>
      <c r="K44">
        <v>6</v>
      </c>
    </row>
    <row r="45" spans="1:11" x14ac:dyDescent="0.2">
      <c r="A45" t="s">
        <v>44</v>
      </c>
      <c r="B45">
        <v>14</v>
      </c>
      <c r="C45">
        <v>14</v>
      </c>
      <c r="D45">
        <v>0</v>
      </c>
      <c r="E45">
        <v>4</v>
      </c>
      <c r="F45">
        <v>8</v>
      </c>
      <c r="G45">
        <v>7</v>
      </c>
      <c r="H45">
        <v>16</v>
      </c>
      <c r="I45">
        <v>6</v>
      </c>
      <c r="J45">
        <v>0</v>
      </c>
      <c r="K45">
        <v>1</v>
      </c>
    </row>
    <row r="46" spans="1:11" x14ac:dyDescent="0.2">
      <c r="A46" t="s">
        <v>45</v>
      </c>
      <c r="B46">
        <v>20</v>
      </c>
      <c r="C46">
        <v>15</v>
      </c>
      <c r="D46">
        <v>1</v>
      </c>
      <c r="E46">
        <v>2</v>
      </c>
      <c r="F46">
        <v>7</v>
      </c>
      <c r="G46">
        <v>9</v>
      </c>
      <c r="H46">
        <v>15</v>
      </c>
      <c r="I46">
        <v>4</v>
      </c>
      <c r="J46">
        <v>2</v>
      </c>
      <c r="K46">
        <v>4</v>
      </c>
    </row>
    <row r="47" spans="1:11" x14ac:dyDescent="0.2">
      <c r="A47" t="s">
        <v>46</v>
      </c>
      <c r="B47">
        <v>12</v>
      </c>
      <c r="C47">
        <v>11</v>
      </c>
      <c r="D47">
        <v>1</v>
      </c>
      <c r="E47">
        <v>2</v>
      </c>
      <c r="F47">
        <v>8</v>
      </c>
      <c r="G47">
        <v>7</v>
      </c>
      <c r="H47">
        <v>13</v>
      </c>
      <c r="I47">
        <v>5</v>
      </c>
      <c r="J47">
        <v>0</v>
      </c>
      <c r="K47">
        <v>6</v>
      </c>
    </row>
    <row r="48" spans="1:11" x14ac:dyDescent="0.2">
      <c r="A48" t="s">
        <v>47</v>
      </c>
      <c r="B48">
        <v>17</v>
      </c>
      <c r="C48">
        <v>7</v>
      </c>
      <c r="D48">
        <v>0</v>
      </c>
      <c r="E48">
        <v>3</v>
      </c>
      <c r="F48">
        <v>5</v>
      </c>
      <c r="G48">
        <v>7</v>
      </c>
      <c r="H48">
        <v>15</v>
      </c>
      <c r="I48">
        <v>5</v>
      </c>
      <c r="J48">
        <v>2</v>
      </c>
      <c r="K48">
        <v>5</v>
      </c>
    </row>
    <row r="49" spans="1:11" x14ac:dyDescent="0.2">
      <c r="A49" t="s">
        <v>48</v>
      </c>
      <c r="B49">
        <v>19</v>
      </c>
      <c r="C49">
        <v>13</v>
      </c>
      <c r="D49">
        <v>1</v>
      </c>
      <c r="E49">
        <v>3</v>
      </c>
      <c r="F49">
        <v>7</v>
      </c>
      <c r="G49">
        <v>9</v>
      </c>
      <c r="H49">
        <v>18</v>
      </c>
      <c r="I49">
        <v>8</v>
      </c>
      <c r="J49">
        <v>1</v>
      </c>
      <c r="K49">
        <v>4</v>
      </c>
    </row>
    <row r="50" spans="1:11" x14ac:dyDescent="0.2">
      <c r="A50" t="s">
        <v>49</v>
      </c>
      <c r="B50">
        <v>22</v>
      </c>
      <c r="C50">
        <v>14</v>
      </c>
      <c r="D50">
        <v>0</v>
      </c>
      <c r="E50">
        <v>3</v>
      </c>
      <c r="F50">
        <v>7</v>
      </c>
      <c r="G50">
        <v>8</v>
      </c>
      <c r="H50">
        <v>17</v>
      </c>
      <c r="I50">
        <v>5</v>
      </c>
      <c r="J50">
        <v>1</v>
      </c>
      <c r="K50">
        <v>7</v>
      </c>
    </row>
    <row r="51" spans="1:11" x14ac:dyDescent="0.2">
      <c r="A51" t="s">
        <v>50</v>
      </c>
      <c r="B51">
        <v>17</v>
      </c>
      <c r="C51">
        <v>10</v>
      </c>
      <c r="D51">
        <v>1</v>
      </c>
      <c r="E51">
        <v>3</v>
      </c>
      <c r="F51">
        <v>4</v>
      </c>
      <c r="G51">
        <v>7</v>
      </c>
      <c r="H51">
        <v>20</v>
      </c>
      <c r="I51">
        <v>7</v>
      </c>
      <c r="J51">
        <v>0</v>
      </c>
      <c r="K51">
        <v>4</v>
      </c>
    </row>
    <row r="52" spans="1:11" x14ac:dyDescent="0.2">
      <c r="A52" t="s">
        <v>51</v>
      </c>
      <c r="B52">
        <v>24</v>
      </c>
      <c r="C52">
        <v>12</v>
      </c>
      <c r="D52">
        <v>0</v>
      </c>
      <c r="E52">
        <v>3</v>
      </c>
      <c r="F52">
        <v>8</v>
      </c>
      <c r="G52">
        <v>12</v>
      </c>
      <c r="H52">
        <v>17</v>
      </c>
      <c r="I52">
        <v>5</v>
      </c>
      <c r="J52">
        <v>2</v>
      </c>
      <c r="K52">
        <v>8</v>
      </c>
    </row>
    <row r="53" spans="1:11" x14ac:dyDescent="0.2">
      <c r="A53" t="s">
        <v>52</v>
      </c>
      <c r="B53">
        <v>14</v>
      </c>
      <c r="C53">
        <v>12</v>
      </c>
      <c r="D53">
        <v>1</v>
      </c>
      <c r="E53">
        <v>3</v>
      </c>
      <c r="F53">
        <v>5</v>
      </c>
      <c r="G53">
        <v>10</v>
      </c>
      <c r="H53">
        <v>14</v>
      </c>
      <c r="I53">
        <v>7</v>
      </c>
      <c r="J53">
        <v>2</v>
      </c>
      <c r="K53">
        <v>7</v>
      </c>
    </row>
    <row r="54" spans="1:11" x14ac:dyDescent="0.2">
      <c r="A54" t="s">
        <v>53</v>
      </c>
      <c r="B54">
        <v>18</v>
      </c>
      <c r="C54">
        <v>12</v>
      </c>
      <c r="D54">
        <v>0</v>
      </c>
      <c r="E54">
        <v>3</v>
      </c>
      <c r="F54">
        <v>4</v>
      </c>
      <c r="G54">
        <v>11</v>
      </c>
      <c r="H54">
        <v>13</v>
      </c>
      <c r="I54">
        <v>6</v>
      </c>
      <c r="J54">
        <v>1</v>
      </c>
      <c r="K54">
        <v>6</v>
      </c>
    </row>
    <row r="55" spans="1:11" x14ac:dyDescent="0.2">
      <c r="A55" t="s">
        <v>54</v>
      </c>
      <c r="B55">
        <v>18</v>
      </c>
      <c r="C55">
        <v>12</v>
      </c>
      <c r="D55">
        <v>1</v>
      </c>
      <c r="E55">
        <v>3</v>
      </c>
      <c r="F55">
        <v>4</v>
      </c>
      <c r="G55">
        <v>10</v>
      </c>
      <c r="H55">
        <v>9</v>
      </c>
      <c r="I55">
        <v>4</v>
      </c>
      <c r="J55">
        <v>0</v>
      </c>
      <c r="K55">
        <v>6</v>
      </c>
    </row>
    <row r="56" spans="1:11" x14ac:dyDescent="0.2">
      <c r="A56" t="s">
        <v>55</v>
      </c>
      <c r="B56">
        <v>8</v>
      </c>
      <c r="C56">
        <v>4</v>
      </c>
      <c r="D56">
        <v>0</v>
      </c>
      <c r="E56">
        <v>2</v>
      </c>
      <c r="F56">
        <v>3</v>
      </c>
      <c r="G56">
        <v>7</v>
      </c>
      <c r="H56">
        <v>8</v>
      </c>
      <c r="I56">
        <v>4</v>
      </c>
      <c r="J56">
        <v>1</v>
      </c>
      <c r="K56">
        <v>5</v>
      </c>
    </row>
    <row r="57" spans="1:11" x14ac:dyDescent="0.2">
      <c r="A57" t="s">
        <v>56</v>
      </c>
      <c r="B57">
        <v>17</v>
      </c>
      <c r="C57">
        <v>10</v>
      </c>
      <c r="D57">
        <v>1</v>
      </c>
      <c r="E57">
        <v>3</v>
      </c>
      <c r="F57">
        <v>5</v>
      </c>
      <c r="G57">
        <v>8</v>
      </c>
      <c r="H57">
        <v>13</v>
      </c>
      <c r="I57">
        <v>6</v>
      </c>
      <c r="J57">
        <v>1</v>
      </c>
      <c r="K57">
        <v>6</v>
      </c>
    </row>
    <row r="58" spans="1:11" x14ac:dyDescent="0.2">
      <c r="A58" t="s">
        <v>57</v>
      </c>
      <c r="B58">
        <v>20</v>
      </c>
      <c r="C58">
        <v>11</v>
      </c>
      <c r="D58">
        <v>1</v>
      </c>
      <c r="E58">
        <v>3</v>
      </c>
      <c r="F58">
        <v>5</v>
      </c>
      <c r="G58">
        <v>10</v>
      </c>
      <c r="H58">
        <v>17</v>
      </c>
      <c r="I58">
        <v>7</v>
      </c>
      <c r="J58">
        <v>0</v>
      </c>
      <c r="K58">
        <v>6</v>
      </c>
    </row>
    <row r="59" spans="1:11" x14ac:dyDescent="0.2">
      <c r="A59" t="s">
        <v>58</v>
      </c>
      <c r="B59">
        <v>25</v>
      </c>
      <c r="C59">
        <v>13</v>
      </c>
      <c r="D59">
        <v>0</v>
      </c>
      <c r="E59">
        <v>5</v>
      </c>
      <c r="F59">
        <v>3</v>
      </c>
      <c r="G59">
        <v>12</v>
      </c>
      <c r="H59">
        <v>20</v>
      </c>
      <c r="I59">
        <v>5</v>
      </c>
      <c r="J59">
        <v>2</v>
      </c>
      <c r="K59">
        <v>10</v>
      </c>
    </row>
    <row r="60" spans="1:11" x14ac:dyDescent="0.2">
      <c r="A60" t="s">
        <v>59</v>
      </c>
      <c r="B60">
        <v>17</v>
      </c>
      <c r="C60">
        <v>11</v>
      </c>
      <c r="D60">
        <v>1</v>
      </c>
      <c r="E60">
        <v>3</v>
      </c>
      <c r="F60">
        <v>5</v>
      </c>
      <c r="G60">
        <v>9</v>
      </c>
      <c r="H60">
        <v>15</v>
      </c>
      <c r="I60">
        <v>3</v>
      </c>
      <c r="J60">
        <v>1</v>
      </c>
      <c r="K60">
        <v>6</v>
      </c>
    </row>
    <row r="61" spans="1:11" x14ac:dyDescent="0.2">
      <c r="A61" t="s">
        <v>60</v>
      </c>
      <c r="B61">
        <v>19</v>
      </c>
      <c r="C61">
        <v>9</v>
      </c>
      <c r="D61">
        <v>2</v>
      </c>
      <c r="E61">
        <v>2</v>
      </c>
      <c r="F61">
        <v>4</v>
      </c>
      <c r="G61">
        <v>7</v>
      </c>
      <c r="H61">
        <v>14</v>
      </c>
      <c r="I61">
        <v>7</v>
      </c>
      <c r="J61">
        <v>0</v>
      </c>
      <c r="K61">
        <v>3</v>
      </c>
    </row>
    <row r="62" spans="1:11" x14ac:dyDescent="0.2">
      <c r="A62" t="s">
        <v>61</v>
      </c>
      <c r="B62">
        <v>17</v>
      </c>
      <c r="C62">
        <v>10</v>
      </c>
      <c r="D62">
        <v>1</v>
      </c>
      <c r="E62">
        <v>3</v>
      </c>
      <c r="F62">
        <v>5</v>
      </c>
      <c r="G62">
        <v>7</v>
      </c>
      <c r="H62">
        <v>11</v>
      </c>
      <c r="I62">
        <v>3</v>
      </c>
      <c r="J62">
        <v>0</v>
      </c>
      <c r="K62">
        <v>5</v>
      </c>
    </row>
    <row r="63" spans="1:11" x14ac:dyDescent="0.2">
      <c r="A63" t="s">
        <v>62</v>
      </c>
      <c r="B63">
        <v>15</v>
      </c>
      <c r="C63">
        <v>11</v>
      </c>
      <c r="D63">
        <v>1</v>
      </c>
      <c r="E63">
        <v>4</v>
      </c>
      <c r="F63">
        <v>5</v>
      </c>
      <c r="G63">
        <v>7</v>
      </c>
      <c r="H63">
        <v>12</v>
      </c>
      <c r="I63">
        <v>2</v>
      </c>
      <c r="J63">
        <v>1</v>
      </c>
      <c r="K63">
        <v>5</v>
      </c>
    </row>
    <row r="64" spans="1:11" x14ac:dyDescent="0.2">
      <c r="A64" t="s">
        <v>63</v>
      </c>
      <c r="B64">
        <v>15</v>
      </c>
      <c r="C64">
        <v>12</v>
      </c>
      <c r="D64">
        <v>1</v>
      </c>
      <c r="E64">
        <v>3</v>
      </c>
      <c r="F64">
        <v>3</v>
      </c>
      <c r="G64">
        <v>10</v>
      </c>
      <c r="H64">
        <v>16</v>
      </c>
      <c r="I64">
        <v>6</v>
      </c>
      <c r="J64">
        <v>0</v>
      </c>
      <c r="K64">
        <v>5</v>
      </c>
    </row>
    <row r="65" spans="1:11" x14ac:dyDescent="0.2">
      <c r="A65" t="s">
        <v>64</v>
      </c>
      <c r="B65">
        <v>14</v>
      </c>
      <c r="C65">
        <v>15</v>
      </c>
      <c r="D65">
        <v>1</v>
      </c>
      <c r="E65">
        <v>4</v>
      </c>
      <c r="F65">
        <v>5</v>
      </c>
      <c r="G65">
        <v>10</v>
      </c>
      <c r="H65">
        <v>17</v>
      </c>
      <c r="I65">
        <v>8</v>
      </c>
      <c r="J65">
        <v>0</v>
      </c>
      <c r="K65">
        <v>4</v>
      </c>
    </row>
    <row r="66" spans="1:11" x14ac:dyDescent="0.2">
      <c r="A66" t="s">
        <v>65</v>
      </c>
      <c r="B66">
        <v>18</v>
      </c>
      <c r="C66">
        <v>11</v>
      </c>
      <c r="D66">
        <v>1</v>
      </c>
      <c r="E66">
        <v>3</v>
      </c>
      <c r="F66">
        <v>4</v>
      </c>
      <c r="G66">
        <v>8</v>
      </c>
      <c r="H66">
        <v>18</v>
      </c>
      <c r="I66">
        <v>4</v>
      </c>
      <c r="J66">
        <v>1</v>
      </c>
      <c r="K66">
        <v>5</v>
      </c>
    </row>
    <row r="67" spans="1:11" x14ac:dyDescent="0.2">
      <c r="A67" t="s">
        <v>66</v>
      </c>
      <c r="B67">
        <v>17</v>
      </c>
      <c r="C67">
        <v>13</v>
      </c>
      <c r="D67">
        <v>1</v>
      </c>
      <c r="E67">
        <v>3</v>
      </c>
      <c r="F67">
        <v>6</v>
      </c>
      <c r="G67">
        <v>14</v>
      </c>
      <c r="H67">
        <v>14</v>
      </c>
      <c r="I67">
        <v>5</v>
      </c>
      <c r="J67">
        <v>0</v>
      </c>
      <c r="K67">
        <v>5</v>
      </c>
    </row>
    <row r="68" spans="1:11" x14ac:dyDescent="0.2">
      <c r="A68" t="s">
        <v>67</v>
      </c>
      <c r="B68">
        <v>14</v>
      </c>
      <c r="C68">
        <v>7</v>
      </c>
      <c r="D68">
        <v>0</v>
      </c>
      <c r="E68">
        <v>3</v>
      </c>
      <c r="F68">
        <v>4</v>
      </c>
      <c r="G68">
        <v>5</v>
      </c>
      <c r="H68">
        <v>11</v>
      </c>
      <c r="I68">
        <v>5</v>
      </c>
      <c r="J68">
        <v>1</v>
      </c>
      <c r="K68">
        <v>4</v>
      </c>
    </row>
    <row r="69" spans="1:11" x14ac:dyDescent="0.2">
      <c r="A69" t="s">
        <v>68</v>
      </c>
      <c r="B69">
        <v>11</v>
      </c>
      <c r="C69">
        <v>7</v>
      </c>
      <c r="D69">
        <v>1</v>
      </c>
      <c r="E69">
        <v>1</v>
      </c>
      <c r="F69">
        <v>5</v>
      </c>
      <c r="G69">
        <v>5</v>
      </c>
      <c r="H69">
        <v>9</v>
      </c>
      <c r="I69">
        <v>4</v>
      </c>
      <c r="J69">
        <v>0</v>
      </c>
      <c r="K69">
        <v>2</v>
      </c>
    </row>
    <row r="70" spans="1:11" x14ac:dyDescent="0.2">
      <c r="A70" t="s">
        <v>69</v>
      </c>
      <c r="B70">
        <v>20</v>
      </c>
      <c r="C70">
        <v>8</v>
      </c>
      <c r="D70">
        <v>1</v>
      </c>
      <c r="E70">
        <v>3</v>
      </c>
      <c r="F70">
        <v>5</v>
      </c>
      <c r="G70">
        <v>11</v>
      </c>
      <c r="H70">
        <v>14</v>
      </c>
      <c r="I70">
        <v>3</v>
      </c>
      <c r="J70">
        <v>2</v>
      </c>
      <c r="K70">
        <v>5</v>
      </c>
    </row>
    <row r="71" spans="1:11" x14ac:dyDescent="0.2">
      <c r="A71" t="s">
        <v>70</v>
      </c>
      <c r="B71">
        <v>11</v>
      </c>
      <c r="C71">
        <v>5</v>
      </c>
      <c r="D71">
        <v>0</v>
      </c>
      <c r="E71">
        <v>2</v>
      </c>
      <c r="F71">
        <v>2</v>
      </c>
      <c r="G71">
        <v>7</v>
      </c>
      <c r="H71">
        <v>10</v>
      </c>
      <c r="I71">
        <v>2</v>
      </c>
      <c r="J71">
        <v>0</v>
      </c>
      <c r="K71">
        <v>4</v>
      </c>
    </row>
    <row r="72" spans="1:11" x14ac:dyDescent="0.2">
      <c r="A72" t="s">
        <v>71</v>
      </c>
      <c r="B72">
        <v>14</v>
      </c>
      <c r="C72">
        <v>9</v>
      </c>
      <c r="D72">
        <v>1</v>
      </c>
      <c r="E72">
        <v>3</v>
      </c>
      <c r="F72">
        <v>5</v>
      </c>
      <c r="G72">
        <v>8</v>
      </c>
      <c r="H72">
        <v>12</v>
      </c>
      <c r="I72">
        <v>7</v>
      </c>
      <c r="J72">
        <v>0</v>
      </c>
      <c r="K72">
        <v>4</v>
      </c>
    </row>
    <row r="73" spans="1:11" x14ac:dyDescent="0.2">
      <c r="A73" t="s">
        <v>72</v>
      </c>
      <c r="B73">
        <v>22</v>
      </c>
      <c r="C73">
        <v>10</v>
      </c>
      <c r="D73">
        <v>1</v>
      </c>
      <c r="E73">
        <v>3</v>
      </c>
      <c r="F73">
        <v>5</v>
      </c>
      <c r="G73">
        <v>9</v>
      </c>
      <c r="H73">
        <v>11</v>
      </c>
      <c r="I73">
        <v>3</v>
      </c>
      <c r="J73">
        <v>1</v>
      </c>
      <c r="K73">
        <v>6</v>
      </c>
    </row>
    <row r="74" spans="1:11" x14ac:dyDescent="0.2">
      <c r="A74" t="s">
        <v>73</v>
      </c>
      <c r="B74">
        <v>9</v>
      </c>
      <c r="C74">
        <v>6</v>
      </c>
      <c r="D74">
        <v>1</v>
      </c>
      <c r="E74">
        <v>2</v>
      </c>
      <c r="F74">
        <v>3</v>
      </c>
      <c r="G74">
        <v>5</v>
      </c>
      <c r="H74">
        <v>11</v>
      </c>
      <c r="I74">
        <v>7</v>
      </c>
      <c r="J74">
        <v>1</v>
      </c>
      <c r="K74">
        <v>3</v>
      </c>
    </row>
    <row r="75" spans="1:11" x14ac:dyDescent="0.2">
      <c r="A75" t="s">
        <v>74</v>
      </c>
      <c r="B75">
        <v>19</v>
      </c>
      <c r="C75">
        <v>12</v>
      </c>
      <c r="D75">
        <v>3</v>
      </c>
      <c r="E75">
        <v>3</v>
      </c>
      <c r="F75">
        <v>5</v>
      </c>
      <c r="G75">
        <v>14</v>
      </c>
      <c r="H75">
        <v>13</v>
      </c>
      <c r="I75">
        <v>5</v>
      </c>
      <c r="J75">
        <v>2</v>
      </c>
      <c r="K75">
        <v>4</v>
      </c>
    </row>
    <row r="76" spans="1:11" x14ac:dyDescent="0.2">
      <c r="A76" t="s">
        <v>75</v>
      </c>
      <c r="B76">
        <v>16</v>
      </c>
      <c r="C76">
        <v>11</v>
      </c>
      <c r="D76">
        <v>1</v>
      </c>
      <c r="E76">
        <v>3</v>
      </c>
      <c r="F76">
        <v>6</v>
      </c>
      <c r="G76">
        <v>10</v>
      </c>
      <c r="H76">
        <v>17</v>
      </c>
      <c r="I76">
        <v>7</v>
      </c>
      <c r="J76">
        <v>2</v>
      </c>
      <c r="K76">
        <v>4</v>
      </c>
    </row>
    <row r="77" spans="1:11" x14ac:dyDescent="0.2">
      <c r="A77" t="s">
        <v>76</v>
      </c>
      <c r="B77">
        <v>18</v>
      </c>
      <c r="C77">
        <v>11</v>
      </c>
      <c r="D77">
        <v>2</v>
      </c>
      <c r="E77">
        <v>3</v>
      </c>
      <c r="F77">
        <v>8</v>
      </c>
      <c r="G77">
        <v>11</v>
      </c>
      <c r="H77">
        <v>16</v>
      </c>
      <c r="I77">
        <v>5</v>
      </c>
      <c r="J77">
        <v>1</v>
      </c>
      <c r="K77">
        <v>4</v>
      </c>
    </row>
    <row r="78" spans="1:11" x14ac:dyDescent="0.2">
      <c r="A78" t="s">
        <v>77</v>
      </c>
      <c r="B78">
        <v>16</v>
      </c>
      <c r="C78">
        <v>11</v>
      </c>
      <c r="D78">
        <v>1</v>
      </c>
      <c r="E78">
        <v>4</v>
      </c>
      <c r="F78">
        <v>7</v>
      </c>
      <c r="G78">
        <v>9</v>
      </c>
      <c r="H78">
        <v>19</v>
      </c>
      <c r="I78">
        <v>4</v>
      </c>
      <c r="J78">
        <v>1</v>
      </c>
      <c r="K78">
        <v>4</v>
      </c>
    </row>
    <row r="79" spans="1:11" x14ac:dyDescent="0.2">
      <c r="A79" t="s">
        <v>78</v>
      </c>
      <c r="B79">
        <v>19</v>
      </c>
      <c r="C79">
        <v>9</v>
      </c>
      <c r="D79">
        <v>1</v>
      </c>
      <c r="E79">
        <v>3</v>
      </c>
      <c r="F79">
        <v>5</v>
      </c>
      <c r="G79">
        <v>7</v>
      </c>
      <c r="H79">
        <v>14</v>
      </c>
      <c r="I79">
        <v>4</v>
      </c>
      <c r="J79">
        <v>2</v>
      </c>
      <c r="K79">
        <v>5</v>
      </c>
    </row>
    <row r="80" spans="1:11" x14ac:dyDescent="0.2">
      <c r="A80" t="s">
        <v>79</v>
      </c>
      <c r="B80">
        <v>18</v>
      </c>
      <c r="C80">
        <v>11</v>
      </c>
      <c r="D80">
        <v>2</v>
      </c>
      <c r="E80">
        <v>3</v>
      </c>
      <c r="F80">
        <v>2</v>
      </c>
      <c r="G80">
        <v>11</v>
      </c>
      <c r="H80">
        <v>14</v>
      </c>
      <c r="I80">
        <v>7</v>
      </c>
      <c r="J80">
        <v>1</v>
      </c>
      <c r="K80">
        <v>7</v>
      </c>
    </row>
    <row r="81" spans="1:11" x14ac:dyDescent="0.2">
      <c r="A81" t="s">
        <v>80</v>
      </c>
      <c r="B81">
        <v>20</v>
      </c>
      <c r="C81">
        <v>14</v>
      </c>
      <c r="D81">
        <v>1</v>
      </c>
      <c r="E81">
        <v>3</v>
      </c>
      <c r="F81">
        <v>6</v>
      </c>
      <c r="G81">
        <v>9</v>
      </c>
      <c r="H81">
        <v>18</v>
      </c>
      <c r="I81">
        <v>4</v>
      </c>
      <c r="J81">
        <v>2</v>
      </c>
      <c r="K81">
        <v>1</v>
      </c>
    </row>
    <row r="82" spans="1:11" x14ac:dyDescent="0.2">
      <c r="A82" t="s">
        <v>81</v>
      </c>
      <c r="B82">
        <v>20</v>
      </c>
      <c r="C82">
        <v>15</v>
      </c>
      <c r="D82">
        <v>1</v>
      </c>
      <c r="E82">
        <v>3</v>
      </c>
      <c r="F82">
        <v>5</v>
      </c>
      <c r="G82">
        <v>6</v>
      </c>
      <c r="H82">
        <v>20</v>
      </c>
      <c r="I82">
        <v>5</v>
      </c>
      <c r="J82">
        <v>1</v>
      </c>
      <c r="K82">
        <v>6</v>
      </c>
    </row>
    <row r="83" spans="1:11" x14ac:dyDescent="0.2">
      <c r="A83" t="s">
        <v>82</v>
      </c>
      <c r="B83">
        <v>19</v>
      </c>
      <c r="C83">
        <v>15</v>
      </c>
      <c r="D83">
        <v>0</v>
      </c>
      <c r="E83">
        <v>3</v>
      </c>
      <c r="F83">
        <v>3</v>
      </c>
      <c r="G83">
        <v>10</v>
      </c>
      <c r="H83">
        <v>20</v>
      </c>
      <c r="I83">
        <v>8</v>
      </c>
      <c r="J83">
        <v>1</v>
      </c>
      <c r="K83">
        <v>4</v>
      </c>
    </row>
    <row r="84" spans="1:11" x14ac:dyDescent="0.2">
      <c r="A84" t="s">
        <v>83</v>
      </c>
      <c r="B84">
        <v>17</v>
      </c>
      <c r="C84">
        <v>8</v>
      </c>
      <c r="D84">
        <v>0</v>
      </c>
      <c r="E84">
        <v>3</v>
      </c>
      <c r="F84">
        <v>5</v>
      </c>
      <c r="G84">
        <v>10</v>
      </c>
      <c r="H84">
        <v>13</v>
      </c>
      <c r="I84">
        <v>4</v>
      </c>
      <c r="J84">
        <v>1</v>
      </c>
      <c r="K84">
        <v>3</v>
      </c>
    </row>
    <row r="85" spans="1:11" x14ac:dyDescent="0.2">
      <c r="A85" t="s">
        <v>84</v>
      </c>
      <c r="B85">
        <v>14</v>
      </c>
      <c r="C85">
        <v>8</v>
      </c>
      <c r="D85">
        <v>0</v>
      </c>
      <c r="E85">
        <v>3</v>
      </c>
      <c r="F85">
        <v>6</v>
      </c>
      <c r="G85">
        <v>6</v>
      </c>
      <c r="H85">
        <v>11</v>
      </c>
      <c r="I85">
        <v>2</v>
      </c>
      <c r="J85">
        <v>0</v>
      </c>
      <c r="K85">
        <v>3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6C79-900D-476C-AB53-B711ADC34783}">
  <dimension ref="A1:CO95"/>
  <sheetViews>
    <sheetView topLeftCell="BH7" workbookViewId="0">
      <selection activeCell="A2" sqref="A2:XFD2"/>
    </sheetView>
  </sheetViews>
  <sheetFormatPr defaultRowHeight="14.25" x14ac:dyDescent="0.2"/>
  <sheetData>
    <row r="1" spans="1:92" x14ac:dyDescent="0.2">
      <c r="A1" s="2" t="s">
        <v>368</v>
      </c>
      <c r="B1" s="2" t="s">
        <v>369</v>
      </c>
      <c r="C1" s="2" t="s">
        <v>370</v>
      </c>
      <c r="D1" s="2" t="s">
        <v>371</v>
      </c>
      <c r="E1" s="2" t="s">
        <v>372</v>
      </c>
      <c r="F1" s="2" t="s">
        <v>373</v>
      </c>
      <c r="G1" s="2" t="s">
        <v>374</v>
      </c>
      <c r="H1" s="2" t="s">
        <v>375</v>
      </c>
      <c r="I1" s="2" t="s">
        <v>376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27</v>
      </c>
      <c r="AK1" s="2" t="s">
        <v>28</v>
      </c>
      <c r="AL1" s="2" t="s">
        <v>29</v>
      </c>
      <c r="AM1" s="2" t="s">
        <v>30</v>
      </c>
      <c r="AN1" s="2" t="s">
        <v>31</v>
      </c>
      <c r="AO1" s="2" t="s">
        <v>32</v>
      </c>
      <c r="AP1" s="2" t="s">
        <v>33</v>
      </c>
      <c r="AQ1" s="2" t="s">
        <v>34</v>
      </c>
      <c r="AR1" s="2" t="s">
        <v>35</v>
      </c>
      <c r="AS1" s="2" t="s">
        <v>36</v>
      </c>
      <c r="AT1" s="2" t="s">
        <v>37</v>
      </c>
      <c r="AU1" s="2" t="s">
        <v>38</v>
      </c>
      <c r="AV1" s="2" t="s">
        <v>39</v>
      </c>
      <c r="AW1" s="2" t="s">
        <v>40</v>
      </c>
      <c r="AX1" s="2" t="s">
        <v>41</v>
      </c>
      <c r="AY1" s="2" t="s">
        <v>42</v>
      </c>
      <c r="AZ1" s="2" t="s">
        <v>43</v>
      </c>
      <c r="BA1" s="2" t="s">
        <v>44</v>
      </c>
      <c r="BB1" s="2" t="s">
        <v>45</v>
      </c>
      <c r="BC1" s="2" t="s">
        <v>46</v>
      </c>
      <c r="BD1" s="2" t="s">
        <v>47</v>
      </c>
      <c r="BE1" s="2" t="s">
        <v>48</v>
      </c>
      <c r="BF1" s="2" t="s">
        <v>49</v>
      </c>
      <c r="BG1" s="2" t="s">
        <v>50</v>
      </c>
      <c r="BH1" s="2" t="s">
        <v>51</v>
      </c>
      <c r="BI1" s="2" t="s">
        <v>52</v>
      </c>
      <c r="BJ1" s="2" t="s">
        <v>53</v>
      </c>
      <c r="BK1" s="2" t="s">
        <v>54</v>
      </c>
      <c r="BL1" s="2" t="s">
        <v>55</v>
      </c>
      <c r="BM1" s="2" t="s">
        <v>56</v>
      </c>
      <c r="BN1" s="2" t="s">
        <v>57</v>
      </c>
      <c r="BO1" s="2" t="s">
        <v>58</v>
      </c>
      <c r="BP1" s="2" t="s">
        <v>59</v>
      </c>
      <c r="BQ1" s="2" t="s">
        <v>60</v>
      </c>
      <c r="BR1" s="2" t="s">
        <v>61</v>
      </c>
      <c r="BS1" s="2" t="s">
        <v>62</v>
      </c>
      <c r="BT1" s="2" t="s">
        <v>63</v>
      </c>
      <c r="BU1" s="2" t="s">
        <v>64</v>
      </c>
      <c r="BV1" s="2" t="s">
        <v>65</v>
      </c>
      <c r="BW1" s="2" t="s">
        <v>66</v>
      </c>
      <c r="BX1" s="2" t="s">
        <v>67</v>
      </c>
      <c r="BY1" s="2" t="s">
        <v>68</v>
      </c>
      <c r="BZ1" s="2" t="s">
        <v>69</v>
      </c>
      <c r="CA1" s="2" t="s">
        <v>70</v>
      </c>
      <c r="CB1" s="2" t="s">
        <v>71</v>
      </c>
      <c r="CC1" s="2" t="s">
        <v>72</v>
      </c>
      <c r="CD1" s="2" t="s">
        <v>73</v>
      </c>
      <c r="CE1" s="2" t="s">
        <v>74</v>
      </c>
      <c r="CF1" s="2" t="s">
        <v>75</v>
      </c>
      <c r="CG1" s="2" t="s">
        <v>76</v>
      </c>
      <c r="CH1" s="2" t="s">
        <v>77</v>
      </c>
      <c r="CI1" s="2" t="s">
        <v>78</v>
      </c>
      <c r="CJ1" s="2" t="s">
        <v>79</v>
      </c>
      <c r="CK1" s="2" t="s">
        <v>80</v>
      </c>
      <c r="CL1" s="2" t="s">
        <v>82</v>
      </c>
      <c r="CM1" s="2" t="s">
        <v>83</v>
      </c>
      <c r="CN1" s="2" t="s">
        <v>84</v>
      </c>
    </row>
    <row r="2" spans="1:92" s="11" customFormat="1" x14ac:dyDescent="0.2">
      <c r="A2" s="10" t="s">
        <v>98</v>
      </c>
      <c r="B2" s="10" t="s">
        <v>99</v>
      </c>
      <c r="C2" s="10">
        <v>10.988223502809971</v>
      </c>
      <c r="D2" s="10">
        <v>102</v>
      </c>
      <c r="E2" s="10">
        <v>0.86987951807228914</v>
      </c>
      <c r="F2" s="10">
        <v>56.10526315789474</v>
      </c>
      <c r="G2" s="10">
        <v>54700.382747573836</v>
      </c>
      <c r="H2" s="10" t="s">
        <v>381</v>
      </c>
      <c r="I2" s="10" t="s">
        <v>88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1.3075039212331099E-4</v>
      </c>
      <c r="W2" s="10">
        <v>0</v>
      </c>
      <c r="X2" s="10">
        <v>9.5960168082355796E-5</v>
      </c>
      <c r="Y2" s="10">
        <v>5.0026140672569803E-5</v>
      </c>
      <c r="Z2" s="10">
        <v>0</v>
      </c>
      <c r="AA2" s="10">
        <v>3.80779009654459E-5</v>
      </c>
      <c r="AB2" s="10">
        <v>1.8915899589422401E-5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1.00250604489021E-4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4.7084178773210697E-5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7.2571817540608799E-5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3.9516093103688102E-5</v>
      </c>
      <c r="BO2" s="10">
        <v>7.1992126181194302E-5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10">
        <v>0</v>
      </c>
      <c r="CH2" s="10">
        <v>0</v>
      </c>
      <c r="CI2" s="10">
        <v>0</v>
      </c>
      <c r="CJ2" s="10">
        <v>0</v>
      </c>
      <c r="CK2" s="10">
        <v>0</v>
      </c>
      <c r="CL2" s="10">
        <v>0</v>
      </c>
      <c r="CM2" s="10">
        <v>0</v>
      </c>
      <c r="CN2" s="10">
        <v>0</v>
      </c>
    </row>
    <row r="3" spans="1:92" s="11" customFormat="1" x14ac:dyDescent="0.2">
      <c r="A3" s="10" t="s">
        <v>112</v>
      </c>
      <c r="B3" s="10" t="s">
        <v>112</v>
      </c>
      <c r="C3" s="10">
        <v>0.85864561985198029</v>
      </c>
      <c r="D3" s="10">
        <v>75</v>
      </c>
      <c r="E3" s="10">
        <v>0.93687707641196016</v>
      </c>
      <c r="F3" s="10">
        <v>56.10526315789474</v>
      </c>
      <c r="G3" s="10">
        <v>3385.0215563246657</v>
      </c>
      <c r="H3" s="10" t="s">
        <v>381</v>
      </c>
      <c r="I3" s="10" t="s">
        <v>88</v>
      </c>
      <c r="J3" s="10">
        <v>2.00593566463768E-4</v>
      </c>
      <c r="K3" s="10">
        <v>2.7498689675328601E-4</v>
      </c>
      <c r="L3" s="10">
        <v>8.2178081847964602E-5</v>
      </c>
      <c r="M3" s="10">
        <v>9.846525274366301E-4</v>
      </c>
      <c r="N3" s="10">
        <v>6.5107646975466702E-5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6.9335555601061794E-5</v>
      </c>
      <c r="V3" s="10">
        <v>2.0324927260411099E-4</v>
      </c>
      <c r="W3" s="10">
        <v>2.6118305655368199E-5</v>
      </c>
      <c r="X3" s="10">
        <v>0</v>
      </c>
      <c r="Y3" s="10">
        <v>1.38434392753061E-4</v>
      </c>
      <c r="Z3" s="10">
        <v>0</v>
      </c>
      <c r="AA3" s="10">
        <v>1.7060706038442001E-4</v>
      </c>
      <c r="AB3" s="10">
        <v>8.0968855399505705E-5</v>
      </c>
      <c r="AC3" s="10">
        <v>1.1627490677978199E-5</v>
      </c>
      <c r="AD3" s="10">
        <v>0</v>
      </c>
      <c r="AE3" s="10">
        <v>8.3039170070774997E-5</v>
      </c>
      <c r="AF3" s="10">
        <v>0</v>
      </c>
      <c r="AG3" s="10">
        <v>5.5833004648406001E-5</v>
      </c>
      <c r="AH3" s="10">
        <v>0</v>
      </c>
      <c r="AI3" s="10">
        <v>0</v>
      </c>
      <c r="AJ3" s="10">
        <v>3.6012228739743999E-4</v>
      </c>
      <c r="AK3" s="10">
        <v>0</v>
      </c>
      <c r="AL3" s="10">
        <v>0</v>
      </c>
      <c r="AM3" s="10">
        <v>0</v>
      </c>
      <c r="AN3" s="10">
        <v>4.3554396456856802E-5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1.8717679213604899E-5</v>
      </c>
      <c r="AX3" s="10">
        <v>0</v>
      </c>
      <c r="AY3" s="10">
        <v>1.2266142338183099E-4</v>
      </c>
      <c r="AZ3" s="10">
        <v>1.56450876291294E-5</v>
      </c>
      <c r="BA3" s="10">
        <v>0</v>
      </c>
      <c r="BB3" s="10">
        <v>0</v>
      </c>
      <c r="BC3" s="10">
        <v>0</v>
      </c>
      <c r="BD3" s="10">
        <v>0</v>
      </c>
      <c r="BE3" s="10">
        <v>1.4647213097049E-5</v>
      </c>
      <c r="BF3" s="10">
        <v>1.98892771710123E-5</v>
      </c>
      <c r="BG3" s="10">
        <v>0</v>
      </c>
      <c r="BH3" s="10">
        <v>0</v>
      </c>
      <c r="BI3" s="10">
        <v>3.8870936140281198E-5</v>
      </c>
      <c r="BJ3" s="10">
        <v>0</v>
      </c>
      <c r="BK3" s="10">
        <v>8.7739064597642795E-5</v>
      </c>
      <c r="BL3" s="10">
        <v>2.1414157866649801E-5</v>
      </c>
      <c r="BM3" s="10">
        <v>0</v>
      </c>
      <c r="BN3" s="10">
        <v>0</v>
      </c>
      <c r="BO3" s="10">
        <v>2.3721491935779901E-4</v>
      </c>
      <c r="BP3" s="10">
        <v>3.8234199332399897E-5</v>
      </c>
      <c r="BQ3" s="10">
        <v>0</v>
      </c>
      <c r="BR3" s="10">
        <v>0</v>
      </c>
      <c r="BS3" s="10">
        <v>0</v>
      </c>
      <c r="BT3" s="10">
        <v>0</v>
      </c>
      <c r="BU3" s="10">
        <v>0</v>
      </c>
      <c r="BV3" s="10">
        <v>0</v>
      </c>
      <c r="BW3" s="10">
        <v>0</v>
      </c>
      <c r="BX3" s="10">
        <v>0</v>
      </c>
      <c r="BY3" s="10">
        <v>0</v>
      </c>
      <c r="BZ3" s="10">
        <v>5.3708868120759498E-5</v>
      </c>
      <c r="CA3" s="10">
        <v>0</v>
      </c>
      <c r="CB3" s="10">
        <v>0</v>
      </c>
      <c r="CC3" s="10">
        <v>0</v>
      </c>
      <c r="CD3" s="10">
        <v>2.8675301969530899E-5</v>
      </c>
      <c r="CE3" s="10">
        <v>0</v>
      </c>
      <c r="CF3" s="10">
        <v>0</v>
      </c>
      <c r="CG3" s="10">
        <v>0</v>
      </c>
      <c r="CH3" s="10">
        <v>0</v>
      </c>
      <c r="CI3" s="10">
        <v>0</v>
      </c>
      <c r="CJ3" s="10">
        <v>0</v>
      </c>
      <c r="CK3" s="10">
        <v>0</v>
      </c>
      <c r="CL3" s="10">
        <v>1.4430088678168399E-5</v>
      </c>
      <c r="CM3" s="10">
        <v>0</v>
      </c>
      <c r="CN3" s="10">
        <v>0</v>
      </c>
    </row>
    <row r="4" spans="1:92" s="11" customFormat="1" x14ac:dyDescent="0.2">
      <c r="A4" s="10" t="s">
        <v>120</v>
      </c>
      <c r="B4" s="10" t="s">
        <v>120</v>
      </c>
      <c r="C4" s="10">
        <v>12.218873825935249</v>
      </c>
      <c r="D4" s="10">
        <v>83</v>
      </c>
      <c r="E4" s="10">
        <v>0.83505535055350555</v>
      </c>
      <c r="F4" s="10">
        <v>6690.3584472285938</v>
      </c>
      <c r="G4" s="10">
        <v>5665965.4525358146</v>
      </c>
      <c r="H4" s="10" t="s">
        <v>381</v>
      </c>
      <c r="I4" s="10" t="s">
        <v>254</v>
      </c>
      <c r="J4" s="10">
        <v>0</v>
      </c>
      <c r="K4" s="10">
        <v>0</v>
      </c>
      <c r="L4" s="10">
        <v>4.3183317165264903E-6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1.9066500975668701E-5</v>
      </c>
      <c r="AT4" s="10">
        <v>0</v>
      </c>
      <c r="AU4" s="10">
        <v>6.9113836298236602E-6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2.06446250700998E-5</v>
      </c>
      <c r="BF4" s="10">
        <v>9.8665881429615892E-6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1.5937199165290498E-5</v>
      </c>
      <c r="BV4" s="10">
        <v>1.10881987032123E-5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1.6944119278511001E-5</v>
      </c>
    </row>
    <row r="5" spans="1:92" s="11" customFormat="1" x14ac:dyDescent="0.2">
      <c r="A5" s="10" t="s">
        <v>121</v>
      </c>
      <c r="B5" s="10" t="s">
        <v>122</v>
      </c>
      <c r="C5" s="10">
        <v>12.511049006654385</v>
      </c>
      <c r="D5" s="10">
        <v>64</v>
      </c>
      <c r="E5" s="10">
        <v>0.9387277829747428</v>
      </c>
      <c r="F5" s="10">
        <v>5987.2631578947367</v>
      </c>
      <c r="G5" s="10">
        <v>4500302.6130680274</v>
      </c>
      <c r="H5" s="10" t="s">
        <v>381</v>
      </c>
      <c r="I5" s="10" t="s">
        <v>254</v>
      </c>
      <c r="J5" s="10">
        <v>0</v>
      </c>
      <c r="K5" s="10">
        <v>9.0024973043294706E-6</v>
      </c>
      <c r="L5" s="10">
        <v>0</v>
      </c>
      <c r="M5" s="10">
        <v>0</v>
      </c>
      <c r="N5" s="10">
        <v>0</v>
      </c>
      <c r="O5" s="10">
        <v>0</v>
      </c>
      <c r="P5" s="10">
        <v>1.6749891570478098E-5</v>
      </c>
      <c r="Q5" s="10">
        <v>0</v>
      </c>
      <c r="R5" s="10">
        <v>0</v>
      </c>
      <c r="S5" s="10">
        <v>0</v>
      </c>
      <c r="T5" s="10">
        <v>0</v>
      </c>
      <c r="U5" s="10">
        <v>7.7861721210836903E-6</v>
      </c>
      <c r="V5" s="10">
        <v>0</v>
      </c>
      <c r="W5" s="10">
        <v>0</v>
      </c>
      <c r="X5" s="10">
        <v>8.3206451293642006E-6</v>
      </c>
      <c r="Y5" s="10">
        <v>2.4725552225579298E-5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2.11921002626942E-5</v>
      </c>
      <c r="AG5" s="10">
        <v>0</v>
      </c>
      <c r="AH5" s="10">
        <v>0</v>
      </c>
      <c r="AI5" s="10">
        <v>0</v>
      </c>
      <c r="AJ5" s="10">
        <v>0</v>
      </c>
      <c r="AK5" s="10">
        <v>8.2712471879368496E-6</v>
      </c>
      <c r="AL5" s="10">
        <v>1.28502329304103E-5</v>
      </c>
      <c r="AM5" s="10">
        <v>0</v>
      </c>
      <c r="AN5" s="10">
        <v>0</v>
      </c>
      <c r="AO5" s="10">
        <v>0</v>
      </c>
      <c r="AP5" s="10">
        <v>0</v>
      </c>
      <c r="AQ5" s="10">
        <v>3.1151000515769997E-5</v>
      </c>
      <c r="AR5" s="10">
        <v>1.41276849014058E-5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1.6779538038833501E-5</v>
      </c>
      <c r="AZ5" s="10">
        <v>0</v>
      </c>
      <c r="BA5" s="10">
        <v>0</v>
      </c>
      <c r="BB5" s="10">
        <v>3.9314340975069201E-5</v>
      </c>
      <c r="BC5" s="10">
        <v>1.58973962733914E-5</v>
      </c>
      <c r="BD5" s="10">
        <v>0</v>
      </c>
      <c r="BE5" s="10">
        <v>0</v>
      </c>
      <c r="BF5" s="10">
        <v>0</v>
      </c>
      <c r="BG5" s="10">
        <v>3.2988988536292601E-5</v>
      </c>
      <c r="BH5" s="10">
        <v>2.7508822433404699E-5</v>
      </c>
      <c r="BI5" s="10">
        <v>0</v>
      </c>
      <c r="BJ5" s="10">
        <v>2.2849673563290901E-5</v>
      </c>
      <c r="BK5" s="10">
        <v>0</v>
      </c>
      <c r="BL5" s="10">
        <v>0</v>
      </c>
      <c r="BM5" s="10">
        <v>7.3321611239658306E-5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1.4302369704325299E-5</v>
      </c>
      <c r="BU5" s="10">
        <v>1.18837634923803E-5</v>
      </c>
      <c r="BV5" s="10">
        <v>1.10174223927084E-5</v>
      </c>
      <c r="BW5" s="10">
        <v>3.2303010606144197E-5</v>
      </c>
      <c r="BX5" s="10">
        <v>2.8219999388006899E-5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1.3728528827663E-5</v>
      </c>
      <c r="CH5" s="10">
        <v>9.1748717029766104E-5</v>
      </c>
      <c r="CI5" s="10">
        <v>0</v>
      </c>
      <c r="CJ5" s="10">
        <v>1.1043481296979001E-5</v>
      </c>
      <c r="CK5" s="10">
        <v>1.40249073195454E-5</v>
      </c>
      <c r="CL5" s="10">
        <v>0</v>
      </c>
      <c r="CM5" s="10">
        <v>0</v>
      </c>
      <c r="CN5" s="10">
        <v>4.21185100947652E-5</v>
      </c>
    </row>
    <row r="6" spans="1:92" s="11" customFormat="1" x14ac:dyDescent="0.2">
      <c r="A6" s="10" t="s">
        <v>133</v>
      </c>
      <c r="B6" s="10" t="s">
        <v>133</v>
      </c>
      <c r="C6" s="10">
        <v>10.314897321487157</v>
      </c>
      <c r="D6" s="10">
        <v>81</v>
      </c>
      <c r="E6" s="10">
        <v>0.78925619834710747</v>
      </c>
      <c r="F6" s="10">
        <v>56.10526315789474</v>
      </c>
      <c r="G6" s="10">
        <v>36997.427948485398</v>
      </c>
      <c r="H6" s="10" t="s">
        <v>381</v>
      </c>
      <c r="I6" s="10" t="s">
        <v>88</v>
      </c>
      <c r="J6" s="10">
        <v>5.5627046265828999E-5</v>
      </c>
      <c r="K6" s="10">
        <v>1.0997931237255701E-4</v>
      </c>
      <c r="L6" s="10">
        <v>1.0925466758604501E-4</v>
      </c>
      <c r="M6" s="10">
        <v>0</v>
      </c>
      <c r="N6" s="10">
        <v>2.4176587464405999E-4</v>
      </c>
      <c r="O6" s="10">
        <v>9.2223372540145896E-5</v>
      </c>
      <c r="P6" s="10">
        <v>3.3621570814060199E-4</v>
      </c>
      <c r="Q6" s="10">
        <v>2.4944798492554998E-5</v>
      </c>
      <c r="R6" s="10">
        <v>9.3189718531393E-5</v>
      </c>
      <c r="S6" s="10">
        <v>3.6607999765925697E-5</v>
      </c>
      <c r="T6" s="10">
        <v>0</v>
      </c>
      <c r="U6" s="10">
        <v>1.3360170482774701E-4</v>
      </c>
      <c r="V6" s="10">
        <v>0</v>
      </c>
      <c r="W6" s="10">
        <v>1.5491697210806099E-4</v>
      </c>
      <c r="X6" s="10">
        <v>9.3437239670557902E-5</v>
      </c>
      <c r="Y6" s="10">
        <v>9.9854582456046606E-5</v>
      </c>
      <c r="Z6" s="10">
        <v>2.1451565906269599E-4</v>
      </c>
      <c r="AA6" s="10">
        <v>5.6286079531611599E-5</v>
      </c>
      <c r="AB6" s="10">
        <v>0</v>
      </c>
      <c r="AC6" s="10">
        <v>0</v>
      </c>
      <c r="AD6" s="10">
        <v>1.16901208276675E-4</v>
      </c>
      <c r="AE6" s="10">
        <v>8.1975674735361998E-5</v>
      </c>
      <c r="AF6" s="10">
        <v>0</v>
      </c>
      <c r="AG6" s="10">
        <v>2.1389912105937001E-5</v>
      </c>
      <c r="AH6" s="10">
        <v>1.63443253961899E-4</v>
      </c>
      <c r="AI6" s="10">
        <v>0</v>
      </c>
      <c r="AJ6" s="10">
        <v>8.9139870742340307E-5</v>
      </c>
      <c r="AK6" s="10">
        <v>7.2823408126228401E-5</v>
      </c>
      <c r="AL6" s="10">
        <v>0</v>
      </c>
      <c r="AM6" s="10">
        <v>0</v>
      </c>
      <c r="AN6" s="10">
        <v>6.5375345941070105E-5</v>
      </c>
      <c r="AO6" s="10">
        <v>0</v>
      </c>
      <c r="AP6" s="10">
        <v>7.1743407511580504E-5</v>
      </c>
      <c r="AQ6" s="10">
        <v>7.5338852309521004E-5</v>
      </c>
      <c r="AR6" s="10">
        <v>7.4972846491001995E-5</v>
      </c>
      <c r="AS6" s="10">
        <v>0</v>
      </c>
      <c r="AT6" s="10">
        <v>2.3796714488653599E-5</v>
      </c>
      <c r="AU6" s="10">
        <v>6.0236260112959401E-5</v>
      </c>
      <c r="AV6" s="10">
        <v>0</v>
      </c>
      <c r="AW6" s="10">
        <v>1.66041252218965E-4</v>
      </c>
      <c r="AX6" s="10">
        <v>6.8664458581555005E-5</v>
      </c>
      <c r="AY6" s="10">
        <v>0</v>
      </c>
      <c r="AZ6" s="10">
        <v>0</v>
      </c>
      <c r="BA6" s="10">
        <v>0</v>
      </c>
      <c r="BB6" s="10">
        <v>9.5611471012113999E-5</v>
      </c>
      <c r="BC6" s="10">
        <v>0</v>
      </c>
      <c r="BD6" s="10">
        <v>1.89422690106946E-4</v>
      </c>
      <c r="BE6" s="10">
        <v>1.98882696679622E-4</v>
      </c>
      <c r="BF6" s="10">
        <v>2.0719725620627099E-4</v>
      </c>
      <c r="BG6" s="10">
        <v>2.31196896509485E-4</v>
      </c>
      <c r="BH6" s="10">
        <v>1.2680196976264601E-4</v>
      </c>
      <c r="BI6" s="10">
        <v>0</v>
      </c>
      <c r="BJ6" s="10">
        <v>6.5706752032814505E-5</v>
      </c>
      <c r="BK6" s="10">
        <v>7.1715164675729E-5</v>
      </c>
      <c r="BL6" s="10">
        <v>0</v>
      </c>
      <c r="BM6" s="10">
        <v>4.5043486621284499E-4</v>
      </c>
      <c r="BN6" s="10">
        <v>1.42925592084099E-4</v>
      </c>
      <c r="BO6" s="10">
        <v>1.2579865563932201E-4</v>
      </c>
      <c r="BP6" s="10">
        <v>0</v>
      </c>
      <c r="BQ6" s="10">
        <v>1.3404264840280201E-4</v>
      </c>
      <c r="BR6" s="10">
        <v>0</v>
      </c>
      <c r="BS6" s="10">
        <v>0</v>
      </c>
      <c r="BT6" s="10">
        <v>0</v>
      </c>
      <c r="BU6" s="10">
        <v>9.7014578246227E-5</v>
      </c>
      <c r="BV6" s="10">
        <v>0</v>
      </c>
      <c r="BW6" s="10">
        <v>2.2297029066515499E-4</v>
      </c>
      <c r="BX6" s="10">
        <v>0</v>
      </c>
      <c r="BY6" s="10">
        <v>1.1422784932461499E-4</v>
      </c>
      <c r="BZ6" s="10">
        <v>0</v>
      </c>
      <c r="CA6" s="10">
        <v>2.2168075913648301E-5</v>
      </c>
      <c r="CB6" s="10">
        <v>1.3292877422082399E-4</v>
      </c>
      <c r="CC6" s="10">
        <v>2.9416364617582098E-4</v>
      </c>
      <c r="CD6" s="10">
        <v>0</v>
      </c>
      <c r="CE6" s="10">
        <v>0</v>
      </c>
      <c r="CF6" s="10">
        <v>0</v>
      </c>
      <c r="CG6" s="10">
        <v>0</v>
      </c>
      <c r="CH6" s="10">
        <v>2.03596355689426E-4</v>
      </c>
      <c r="CI6" s="10">
        <v>5.5677406849387001E-5</v>
      </c>
      <c r="CJ6" s="10">
        <v>1.36983733891828E-4</v>
      </c>
      <c r="CK6" s="10">
        <v>3.2181108530589898E-4</v>
      </c>
      <c r="CL6" s="10">
        <v>3.0403669294738799E-4</v>
      </c>
      <c r="CM6" s="10">
        <v>2.1935725359033099E-4</v>
      </c>
      <c r="CN6" s="10">
        <v>2.0762851604608099E-4</v>
      </c>
    </row>
    <row r="7" spans="1:92" s="11" customFormat="1" x14ac:dyDescent="0.2">
      <c r="A7" s="10" t="s">
        <v>136</v>
      </c>
      <c r="B7" s="10" t="s">
        <v>136</v>
      </c>
      <c r="C7" s="10">
        <v>1.2889550856974781</v>
      </c>
      <c r="D7" s="10">
        <v>261</v>
      </c>
      <c r="E7" s="10">
        <v>0.8329545454545455</v>
      </c>
      <c r="F7" s="10">
        <v>56.10526315789474</v>
      </c>
      <c r="G7" s="10">
        <v>15721.833693451221</v>
      </c>
      <c r="H7" s="10" t="s">
        <v>381</v>
      </c>
      <c r="I7" s="10" t="s">
        <v>88</v>
      </c>
      <c r="J7" s="10">
        <v>0</v>
      </c>
      <c r="K7" s="10">
        <v>0</v>
      </c>
      <c r="L7" s="10">
        <v>4.1018804629337503E-5</v>
      </c>
      <c r="M7" s="10">
        <v>3.0705911933355702E-4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5.23007600249453E-5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3.5791837912174802E-5</v>
      </c>
      <c r="AG7" s="10">
        <v>1.2992837296270301E-4</v>
      </c>
      <c r="AH7" s="10">
        <v>0</v>
      </c>
      <c r="AI7" s="10">
        <v>0</v>
      </c>
      <c r="AJ7" s="10">
        <v>1.0949089354000401E-3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2.0195518140483598E-5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</row>
    <row r="8" spans="1:92" s="11" customFormat="1" x14ac:dyDescent="0.2">
      <c r="A8" s="10" t="s">
        <v>142</v>
      </c>
      <c r="B8" s="10" t="s">
        <v>142</v>
      </c>
      <c r="C8" s="10">
        <v>16.144339513381347</v>
      </c>
      <c r="D8" s="10">
        <v>345</v>
      </c>
      <c r="E8" s="10">
        <v>0.84670329670329669</v>
      </c>
      <c r="F8" s="10">
        <v>56.10526315789474</v>
      </c>
      <c r="G8" s="10">
        <v>264590.49067989225</v>
      </c>
      <c r="H8" s="10" t="s">
        <v>381</v>
      </c>
      <c r="I8" s="10" t="s">
        <v>88</v>
      </c>
      <c r="J8" s="10">
        <v>1.2705887333177199E-4</v>
      </c>
      <c r="K8" s="10">
        <v>0</v>
      </c>
      <c r="L8" s="10">
        <v>0</v>
      </c>
      <c r="M8" s="10">
        <v>1.03580737764457E-3</v>
      </c>
      <c r="N8" s="10">
        <v>0</v>
      </c>
      <c r="O8" s="10">
        <v>0</v>
      </c>
      <c r="P8" s="10">
        <v>3.3080266527307903E-5</v>
      </c>
      <c r="Q8" s="10">
        <v>0</v>
      </c>
      <c r="R8" s="10">
        <v>0</v>
      </c>
      <c r="S8" s="10">
        <v>0</v>
      </c>
      <c r="T8" s="10">
        <v>0</v>
      </c>
      <c r="U8" s="10">
        <v>3.16262718732682E-5</v>
      </c>
      <c r="V8" s="10">
        <v>5.1344508394798698E-4</v>
      </c>
      <c r="W8" s="10">
        <v>5.0389842393944596E-4</v>
      </c>
      <c r="X8" s="10">
        <v>0</v>
      </c>
      <c r="Y8" s="10">
        <v>0</v>
      </c>
      <c r="Z8" s="10">
        <v>8.6774675845317502E-5</v>
      </c>
      <c r="AA8" s="10">
        <v>0</v>
      </c>
      <c r="AB8" s="10">
        <v>1.8324114633179201E-4</v>
      </c>
      <c r="AC8" s="10">
        <v>0</v>
      </c>
      <c r="AD8" s="10">
        <v>0</v>
      </c>
      <c r="AE8" s="10">
        <v>0</v>
      </c>
      <c r="AF8" s="10">
        <v>0</v>
      </c>
      <c r="AG8" s="10">
        <v>4.1832806334237403E-4</v>
      </c>
      <c r="AH8" s="10">
        <v>0</v>
      </c>
      <c r="AI8" s="10">
        <v>3.69744736231612E-5</v>
      </c>
      <c r="AJ8" s="10">
        <v>0</v>
      </c>
      <c r="AK8" s="10">
        <v>1.75589685109258E-5</v>
      </c>
      <c r="AL8" s="10">
        <v>0</v>
      </c>
      <c r="AM8" s="10">
        <v>0</v>
      </c>
      <c r="AN8" s="10">
        <v>0</v>
      </c>
      <c r="AO8" s="10">
        <v>2.3344415258611099E-5</v>
      </c>
      <c r="AP8" s="10">
        <v>0</v>
      </c>
      <c r="AQ8" s="10">
        <v>2.01050427086016E-5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1.19645673848014E-5</v>
      </c>
      <c r="AY8" s="10">
        <v>1.5624099642634799E-4</v>
      </c>
      <c r="AZ8" s="10">
        <v>0</v>
      </c>
      <c r="BA8" s="10">
        <v>0</v>
      </c>
      <c r="BB8" s="10">
        <v>0</v>
      </c>
      <c r="BC8" s="10">
        <v>0</v>
      </c>
      <c r="BD8" s="10">
        <v>1.39337495464539E-5</v>
      </c>
      <c r="BE8" s="10">
        <v>1.81311353521799E-5</v>
      </c>
      <c r="BF8" s="10">
        <v>2.21148501021037E-5</v>
      </c>
      <c r="BG8" s="10">
        <v>0</v>
      </c>
      <c r="BH8" s="10">
        <v>2.1241882392435501E-4</v>
      </c>
      <c r="BI8" s="10">
        <v>0</v>
      </c>
      <c r="BJ8" s="10">
        <v>1.15193241671566E-5</v>
      </c>
      <c r="BK8" s="10">
        <v>0</v>
      </c>
      <c r="BL8" s="10">
        <v>0</v>
      </c>
      <c r="BM8" s="10">
        <v>4.6787517223960301E-5</v>
      </c>
      <c r="BN8" s="10">
        <v>0</v>
      </c>
      <c r="BO8" s="10">
        <v>8.2816142957921899E-4</v>
      </c>
      <c r="BP8" s="10">
        <v>4.7087106078065099E-5</v>
      </c>
      <c r="BQ8" s="10">
        <v>0</v>
      </c>
      <c r="BR8" s="10">
        <v>0</v>
      </c>
      <c r="BS8" s="10">
        <v>0</v>
      </c>
      <c r="BT8" s="10">
        <v>9.5849091323708598E-6</v>
      </c>
      <c r="BU8" s="10">
        <v>3.5922371507008397E-5</v>
      </c>
      <c r="BV8" s="10">
        <v>1.5989357026857299E-5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2.34899990925375E-5</v>
      </c>
      <c r="CC8" s="10">
        <v>1.4118416836714699E-5</v>
      </c>
      <c r="CD8" s="10">
        <v>0</v>
      </c>
      <c r="CE8" s="10">
        <v>0</v>
      </c>
      <c r="CF8" s="10">
        <v>0</v>
      </c>
      <c r="CG8" s="10">
        <v>5.1550870110760699E-6</v>
      </c>
      <c r="CH8" s="10">
        <v>0</v>
      </c>
      <c r="CI8" s="10">
        <v>8.4719620170413108E-6</v>
      </c>
      <c r="CJ8" s="10">
        <v>1.60509964983692E-5</v>
      </c>
      <c r="CK8" s="10">
        <v>5.3454220401745303E-5</v>
      </c>
      <c r="CL8" s="10">
        <v>3.6181869258978598E-5</v>
      </c>
      <c r="CM8" s="10">
        <v>1.4661790174236E-5</v>
      </c>
      <c r="CN8" s="10">
        <v>1.4048469081718299E-5</v>
      </c>
    </row>
    <row r="9" spans="1:92" s="11" customFormat="1" x14ac:dyDescent="0.2">
      <c r="A9" s="10" t="s">
        <v>146</v>
      </c>
      <c r="B9" s="10" t="s">
        <v>146</v>
      </c>
      <c r="C9" s="10">
        <v>13.11500850230405</v>
      </c>
      <c r="D9" s="10">
        <v>29</v>
      </c>
      <c r="E9" s="10">
        <v>0.86750788643533128</v>
      </c>
      <c r="F9" s="10">
        <v>10.776315789473685</v>
      </c>
      <c r="G9" s="10">
        <v>3555.5788605350931</v>
      </c>
      <c r="H9" s="10" t="s">
        <v>381</v>
      </c>
      <c r="I9" s="10" t="s">
        <v>147</v>
      </c>
      <c r="J9" s="10">
        <v>6.7868929641110696E-5</v>
      </c>
      <c r="K9" s="10">
        <v>3.5900789555988602E-5</v>
      </c>
      <c r="L9" s="10">
        <v>3.6840032105017598E-4</v>
      </c>
      <c r="M9" s="10">
        <v>3.7702053034416701E-5</v>
      </c>
      <c r="N9" s="10">
        <v>1.92410159674713E-5</v>
      </c>
      <c r="O9" s="10">
        <v>0</v>
      </c>
      <c r="P9" s="10">
        <v>4.3321750816693801E-4</v>
      </c>
      <c r="Q9" s="10">
        <v>2.9351682434597301E-5</v>
      </c>
      <c r="R9" s="10">
        <v>3.1415067702539697E-5</v>
      </c>
      <c r="S9" s="10">
        <v>0</v>
      </c>
      <c r="T9" s="10">
        <v>1.22271713951642E-5</v>
      </c>
      <c r="U9" s="10">
        <v>2.0209892340285901E-5</v>
      </c>
      <c r="V9" s="10">
        <v>1.34707569399596E-5</v>
      </c>
      <c r="W9" s="10">
        <v>0</v>
      </c>
      <c r="X9" s="10">
        <v>6.02766350804646E-5</v>
      </c>
      <c r="Y9" s="10">
        <v>2.1151881268769701E-5</v>
      </c>
      <c r="Z9" s="10">
        <v>1.18442345749389E-4</v>
      </c>
      <c r="AA9" s="10">
        <v>3.4626213301097302E-5</v>
      </c>
      <c r="AB9" s="10">
        <v>0</v>
      </c>
      <c r="AC9" s="10">
        <v>0</v>
      </c>
      <c r="AD9" s="10">
        <v>1.2520480610524E-4</v>
      </c>
      <c r="AE9" s="10">
        <v>6.3780218099472106E-5</v>
      </c>
      <c r="AF9" s="10">
        <v>2.19499734869226E-4</v>
      </c>
      <c r="AG9" s="10">
        <v>0</v>
      </c>
      <c r="AH9" s="10">
        <v>2.6056435242348598E-4</v>
      </c>
      <c r="AI9" s="10">
        <v>1.0431553746122299E-4</v>
      </c>
      <c r="AJ9" s="10">
        <v>7.2216261156719095E-5</v>
      </c>
      <c r="AK9" s="10">
        <v>2.30619486075962E-4</v>
      </c>
      <c r="AL9" s="10">
        <v>8.4590189914352394E-5</v>
      </c>
      <c r="AM9" s="10">
        <v>5.5518023962519197E-5</v>
      </c>
      <c r="AN9" s="10">
        <v>0</v>
      </c>
      <c r="AO9" s="10">
        <v>1.2808727903256001E-4</v>
      </c>
      <c r="AP9" s="10">
        <v>8.3142484855832605E-5</v>
      </c>
      <c r="AQ9" s="10">
        <v>1.08790005822731E-4</v>
      </c>
      <c r="AR9" s="10">
        <v>0</v>
      </c>
      <c r="AS9" s="10">
        <v>4.6122623242912103E-5</v>
      </c>
      <c r="AT9" s="10">
        <v>0</v>
      </c>
      <c r="AU9" s="10">
        <v>0</v>
      </c>
      <c r="AV9" s="10">
        <v>0</v>
      </c>
      <c r="AW9" s="10">
        <v>3.3850726975904703E-5</v>
      </c>
      <c r="AX9" s="10">
        <v>1.6472973508269701E-4</v>
      </c>
      <c r="AY9" s="10">
        <v>2.57542555070611E-5</v>
      </c>
      <c r="AZ9" s="10">
        <v>8.8760144380531006E-5</v>
      </c>
      <c r="BA9" s="10">
        <v>3.1317926461714099E-4</v>
      </c>
      <c r="BB9" s="10">
        <v>1.66103200278314E-4</v>
      </c>
      <c r="BC9" s="10">
        <v>2.6897690992941299E-4</v>
      </c>
      <c r="BD9" s="10">
        <v>2.6360036058269701E-4</v>
      </c>
      <c r="BE9" s="10">
        <v>3.62250505352436E-4</v>
      </c>
      <c r="BF9" s="10">
        <v>3.4891207533257199E-4</v>
      </c>
      <c r="BG9" s="10">
        <v>3.71343648416541E-4</v>
      </c>
      <c r="BH9" s="10">
        <v>2.1338358140419699E-4</v>
      </c>
      <c r="BI9" s="10">
        <v>3.1955160264189201E-4</v>
      </c>
      <c r="BJ9" s="10">
        <v>0</v>
      </c>
      <c r="BK9" s="10">
        <v>5.7595426683029803E-5</v>
      </c>
      <c r="BL9" s="10">
        <v>5.6317711667724998E-6</v>
      </c>
      <c r="BM9" s="10">
        <v>2.0426690094154501E-4</v>
      </c>
      <c r="BN9" s="10">
        <v>1.20389053489146E-4</v>
      </c>
      <c r="BO9" s="10">
        <v>1.85540191283693E-4</v>
      </c>
      <c r="BP9" s="10">
        <v>3.6471195549283503E-5</v>
      </c>
      <c r="BQ9" s="10">
        <v>3.83091926934555E-4</v>
      </c>
      <c r="BR9" s="10">
        <v>9.64146435541066E-5</v>
      </c>
      <c r="BS9" s="10">
        <v>3.3933058045041001E-4</v>
      </c>
      <c r="BT9" s="10">
        <v>2.23598043952533E-4</v>
      </c>
      <c r="BU9" s="10">
        <v>2.4768744885455798E-4</v>
      </c>
      <c r="BV9" s="10">
        <v>9.3953724279979606E-5</v>
      </c>
      <c r="BW9" s="10">
        <v>0</v>
      </c>
      <c r="BX9" s="10">
        <v>4.15225484003051E-5</v>
      </c>
      <c r="BY9" s="10">
        <v>0</v>
      </c>
      <c r="BZ9" s="10">
        <v>6.8836376295326295E-5</v>
      </c>
      <c r="CA9" s="10">
        <v>0</v>
      </c>
      <c r="CB9" s="10">
        <v>1.30322979367617E-4</v>
      </c>
      <c r="CC9" s="10">
        <v>6.0924643977812497E-5</v>
      </c>
      <c r="CD9" s="10">
        <v>6.9585539709370598E-5</v>
      </c>
      <c r="CE9" s="10">
        <v>2.8512480416882901E-4</v>
      </c>
      <c r="CF9" s="10">
        <v>5.4792232998539401E-5</v>
      </c>
      <c r="CG9" s="10">
        <v>2.8544996888292599E-4</v>
      </c>
      <c r="CH9" s="10">
        <v>2.8535730845463198E-4</v>
      </c>
      <c r="CI9" s="10">
        <v>8.2204198636758207E-5</v>
      </c>
      <c r="CJ9" s="10">
        <v>1.0049605181986199E-4</v>
      </c>
      <c r="CK9" s="10">
        <v>3.5482319322527198E-4</v>
      </c>
      <c r="CL9" s="10">
        <v>4.5346001703141999E-4</v>
      </c>
      <c r="CM9" s="10">
        <v>0</v>
      </c>
      <c r="CN9" s="10">
        <v>6.2580063573622306E-5</v>
      </c>
    </row>
    <row r="10" spans="1:92" s="11" customFormat="1" x14ac:dyDescent="0.2">
      <c r="A10" s="10" t="s">
        <v>196</v>
      </c>
      <c r="B10" s="10" t="s">
        <v>196</v>
      </c>
      <c r="C10" s="10">
        <v>73.96238690467932</v>
      </c>
      <c r="D10" s="10">
        <v>176</v>
      </c>
      <c r="E10" s="10">
        <v>0.83774834437086088</v>
      </c>
      <c r="F10" s="10">
        <v>738.71351400000003</v>
      </c>
      <c r="G10" s="10">
        <v>8055884.0797473891</v>
      </c>
      <c r="H10" s="10" t="s">
        <v>381</v>
      </c>
      <c r="I10" s="10" t="s">
        <v>384</v>
      </c>
      <c r="J10" s="10">
        <v>0</v>
      </c>
      <c r="K10" s="10">
        <v>2.7557892393732099E-5</v>
      </c>
      <c r="L10" s="10">
        <v>7.4044874267064205E-5</v>
      </c>
      <c r="M10" s="10">
        <v>3.8688687795322203E-4</v>
      </c>
      <c r="N10" s="10">
        <v>0</v>
      </c>
      <c r="O10" s="10">
        <v>4.0000277109895302E-5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9.5910465756575704E-5</v>
      </c>
      <c r="V10" s="10">
        <v>5.5227578292543896E-4</v>
      </c>
      <c r="W10" s="10">
        <v>1.18171024303802E-4</v>
      </c>
      <c r="X10" s="10">
        <v>6.8095592024809205E-4</v>
      </c>
      <c r="Y10" s="10">
        <v>1.7518462990335701E-4</v>
      </c>
      <c r="Z10" s="10">
        <v>2.6998957795745402E-4</v>
      </c>
      <c r="AA10" s="10">
        <v>0</v>
      </c>
      <c r="AB10" s="10">
        <v>1.3692318726943599E-4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6.7040770963080402E-4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1.2993315978903499E-5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2.44826260967729E-4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2.8479476369797598E-5</v>
      </c>
      <c r="BI10" s="10">
        <v>0</v>
      </c>
      <c r="BJ10" s="10">
        <v>0</v>
      </c>
      <c r="BK10" s="10">
        <v>2.6035264850038301E-5</v>
      </c>
      <c r="BL10" s="10">
        <v>0</v>
      </c>
      <c r="BM10" s="10">
        <v>0</v>
      </c>
      <c r="BN10" s="10">
        <v>0</v>
      </c>
      <c r="BO10" s="10">
        <v>5.6311617210308797E-4</v>
      </c>
      <c r="BP10" s="10">
        <v>3.5981643804317102E-4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2.7706585017561201E-5</v>
      </c>
      <c r="CA10" s="10">
        <v>0</v>
      </c>
      <c r="CB10" s="10">
        <v>0</v>
      </c>
      <c r="CC10" s="10">
        <v>6.2690394097417295E-5</v>
      </c>
      <c r="CD10" s="10">
        <v>0</v>
      </c>
      <c r="CE10" s="10">
        <v>2.14345317237958E-4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9.2651829648432004E-5</v>
      </c>
      <c r="CN10" s="10">
        <v>0</v>
      </c>
    </row>
    <row r="11" spans="1:92" s="11" customFormat="1" x14ac:dyDescent="0.2">
      <c r="A11" s="10" t="s">
        <v>199</v>
      </c>
      <c r="B11" s="10" t="s">
        <v>199</v>
      </c>
      <c r="C11" s="10">
        <v>74.468474562931036</v>
      </c>
      <c r="D11" s="10">
        <v>22</v>
      </c>
      <c r="E11" s="10">
        <v>0.18571428571428572</v>
      </c>
      <c r="F11" s="10">
        <v>738.71351400000003</v>
      </c>
      <c r="G11" s="10">
        <v>224758.69140868983</v>
      </c>
      <c r="H11" s="10" t="s">
        <v>381</v>
      </c>
      <c r="I11" s="10" t="s">
        <v>384</v>
      </c>
      <c r="J11" s="10">
        <v>5.27951465814298E-5</v>
      </c>
      <c r="K11" s="10">
        <v>6.4626702926661795E-4</v>
      </c>
      <c r="L11" s="10">
        <v>1.48736993974432E-3</v>
      </c>
      <c r="M11" s="10">
        <v>2.5675209738693801E-2</v>
      </c>
      <c r="N11" s="10">
        <v>2.72225622760799E-4</v>
      </c>
      <c r="O11" s="10">
        <v>1.36448573593276E-5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1.67184110931159E-4</v>
      </c>
      <c r="V11" s="10">
        <v>5.7882862462127602E-4</v>
      </c>
      <c r="W11" s="10">
        <v>0</v>
      </c>
      <c r="X11" s="10">
        <v>0</v>
      </c>
      <c r="Y11" s="10">
        <v>3.1458861398453002E-4</v>
      </c>
      <c r="Z11" s="10">
        <v>2.5797106701922401E-4</v>
      </c>
      <c r="AA11" s="10">
        <v>2.72490270480769E-3</v>
      </c>
      <c r="AB11" s="10">
        <v>7.1914091777305593E-5</v>
      </c>
      <c r="AC11" s="10">
        <v>3.6586005893451903E-5</v>
      </c>
      <c r="AD11" s="10">
        <v>3.0884672467682001E-5</v>
      </c>
      <c r="AE11" s="10">
        <v>0</v>
      </c>
      <c r="AF11" s="10">
        <v>0</v>
      </c>
      <c r="AG11" s="10">
        <v>2.48249281383087E-4</v>
      </c>
      <c r="AH11" s="10">
        <v>0</v>
      </c>
      <c r="AI11" s="10">
        <v>0</v>
      </c>
      <c r="AJ11" s="10">
        <v>1.27669159721109E-3</v>
      </c>
      <c r="AK11" s="10">
        <v>0</v>
      </c>
      <c r="AL11" s="10">
        <v>0</v>
      </c>
      <c r="AM11" s="10">
        <v>1.03003267087031E-5</v>
      </c>
      <c r="AN11" s="10">
        <v>0</v>
      </c>
      <c r="AO11" s="10">
        <v>0</v>
      </c>
      <c r="AP11" s="10">
        <v>3.8032686186089202E-5</v>
      </c>
      <c r="AQ11" s="10">
        <v>0</v>
      </c>
      <c r="AR11" s="10">
        <v>1.59237738100251E-5</v>
      </c>
      <c r="AS11" s="10">
        <v>0</v>
      </c>
      <c r="AT11" s="10">
        <v>3.5839834869374202E-5</v>
      </c>
      <c r="AU11" s="10">
        <v>0</v>
      </c>
      <c r="AV11" s="10">
        <v>0</v>
      </c>
      <c r="AW11" s="10">
        <v>0</v>
      </c>
      <c r="AX11" s="10">
        <v>0</v>
      </c>
      <c r="AY11" s="10">
        <v>8.2723899819049599E-3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3.3458541068949197E-5</v>
      </c>
      <c r="BI11" s="10">
        <v>0</v>
      </c>
      <c r="BJ11" s="10">
        <v>0</v>
      </c>
      <c r="BK11" s="10">
        <v>0</v>
      </c>
      <c r="BL11" s="10">
        <v>0</v>
      </c>
      <c r="BM11" s="10">
        <v>6.7456219804338697E-5</v>
      </c>
      <c r="BN11" s="10">
        <v>0</v>
      </c>
      <c r="BO11" s="10">
        <v>3.6865743747817802E-4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2.4711550750182301E-5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</row>
    <row r="12" spans="1:92" s="11" customFormat="1" x14ac:dyDescent="0.2">
      <c r="A12" s="10" t="s">
        <v>202</v>
      </c>
      <c r="B12" s="10" t="s">
        <v>202</v>
      </c>
      <c r="C12" s="10">
        <v>9.3880667775016917</v>
      </c>
      <c r="D12" s="10">
        <v>36</v>
      </c>
      <c r="E12" s="10">
        <v>0.37777777777777777</v>
      </c>
      <c r="F12" s="10">
        <v>738.71351400000003</v>
      </c>
      <c r="G12" s="10">
        <v>94317.248464699063</v>
      </c>
      <c r="H12" s="10" t="s">
        <v>381</v>
      </c>
      <c r="I12" s="10" t="s">
        <v>384</v>
      </c>
      <c r="J12" s="10">
        <v>4.6924105224673003E-5</v>
      </c>
      <c r="K12" s="10">
        <v>5.3627308412048497E-5</v>
      </c>
      <c r="L12" s="10">
        <v>1.3115746075002E-4</v>
      </c>
      <c r="M12" s="10">
        <v>4.30865776879418E-4</v>
      </c>
      <c r="N12" s="10">
        <v>1.6493354743529799E-4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2.01516216213935E-5</v>
      </c>
      <c r="V12" s="10">
        <v>3.0340798064581001E-5</v>
      </c>
      <c r="W12" s="10">
        <v>3.9444640296781203E-5</v>
      </c>
      <c r="X12" s="10">
        <v>0</v>
      </c>
      <c r="Y12" s="10">
        <v>0</v>
      </c>
      <c r="Z12" s="10">
        <v>0</v>
      </c>
      <c r="AA12" s="10">
        <v>4.0853098392010702E-5</v>
      </c>
      <c r="AB12" s="10">
        <v>0</v>
      </c>
      <c r="AC12" s="10">
        <v>0</v>
      </c>
      <c r="AD12" s="10">
        <v>0</v>
      </c>
      <c r="AE12" s="10">
        <v>7.8729048011089798E-5</v>
      </c>
      <c r="AF12" s="10">
        <v>0</v>
      </c>
      <c r="AG12" s="10">
        <v>1.382824291474E-4</v>
      </c>
      <c r="AH12" s="10">
        <v>0</v>
      </c>
      <c r="AI12" s="10">
        <v>0</v>
      </c>
      <c r="AJ12" s="10">
        <v>8.8501167517912504E-5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6.88249651250575E-5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4.7774483444629402E-5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1.1549096229644899E-4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7.8042468901224295E-5</v>
      </c>
      <c r="CG12" s="10">
        <v>1.1098313796434999E-5</v>
      </c>
      <c r="CH12" s="10">
        <v>1.49960196214555E-5</v>
      </c>
      <c r="CI12" s="10">
        <v>0</v>
      </c>
      <c r="CJ12" s="10">
        <v>4.1972419032505299E-5</v>
      </c>
      <c r="CK12" s="10">
        <v>0</v>
      </c>
      <c r="CL12" s="10">
        <v>0</v>
      </c>
      <c r="CM12" s="10">
        <v>0</v>
      </c>
      <c r="CN12" s="10">
        <v>0</v>
      </c>
    </row>
    <row r="13" spans="1:92" s="11" customFormat="1" x14ac:dyDescent="0.2">
      <c r="A13" s="10" t="s">
        <v>246</v>
      </c>
      <c r="B13" s="10" t="s">
        <v>246</v>
      </c>
      <c r="C13" s="10">
        <v>13.499049550760942</v>
      </c>
      <c r="D13" s="10">
        <v>38</v>
      </c>
      <c r="E13" s="10">
        <v>0.96395963479096591</v>
      </c>
      <c r="F13" s="10">
        <v>5852.894736842105</v>
      </c>
      <c r="G13" s="10">
        <v>2894118.7711835611</v>
      </c>
      <c r="H13" s="10" t="s">
        <v>381</v>
      </c>
      <c r="I13" s="10" t="s">
        <v>254</v>
      </c>
      <c r="J13" s="10">
        <v>0</v>
      </c>
      <c r="K13" s="10">
        <v>3.7229996895169698E-5</v>
      </c>
      <c r="L13" s="10">
        <v>2.5546711293009599E-4</v>
      </c>
      <c r="M13" s="10">
        <v>4.2377077241540899E-5</v>
      </c>
      <c r="N13" s="10">
        <v>0</v>
      </c>
      <c r="O13" s="10">
        <v>1.8136145862213299E-5</v>
      </c>
      <c r="P13" s="10">
        <v>1.01688771344749E-4</v>
      </c>
      <c r="Q13" s="10">
        <v>2.5108686832708401E-5</v>
      </c>
      <c r="R13" s="10">
        <v>0</v>
      </c>
      <c r="S13" s="10">
        <v>0</v>
      </c>
      <c r="T13" s="10">
        <v>0</v>
      </c>
      <c r="U13" s="10">
        <v>1.5351435774695601E-5</v>
      </c>
      <c r="V13" s="10">
        <v>0</v>
      </c>
      <c r="W13" s="10">
        <v>2.3487240780688401E-5</v>
      </c>
      <c r="X13" s="10">
        <v>0</v>
      </c>
      <c r="Y13" s="10">
        <v>8.6700579444741006E-6</v>
      </c>
      <c r="Z13" s="10">
        <v>7.0086762630348405E-5</v>
      </c>
      <c r="AA13" s="10">
        <v>2.0601175412029701E-5</v>
      </c>
      <c r="AB13" s="10">
        <v>9.36539286212423E-6</v>
      </c>
      <c r="AC13" s="10">
        <v>2.3691578639260599E-5</v>
      </c>
      <c r="AD13" s="10">
        <v>5.3928954392106499E-5</v>
      </c>
      <c r="AE13" s="10">
        <v>1.33817835223209E-4</v>
      </c>
      <c r="AF13" s="10">
        <v>6.1543047794989405E-5</v>
      </c>
      <c r="AG13" s="10">
        <v>1.1202759173147101E-5</v>
      </c>
      <c r="AH13" s="10">
        <v>1.7929575196848899E-4</v>
      </c>
      <c r="AI13" s="10">
        <v>1.7722582226450601E-4</v>
      </c>
      <c r="AJ13" s="10">
        <v>1.5331265336731401E-4</v>
      </c>
      <c r="AK13" s="10">
        <v>2.9974296572348E-4</v>
      </c>
      <c r="AL13" s="10">
        <v>4.4590362193342103E-5</v>
      </c>
      <c r="AM13" s="10">
        <v>3.82780671526488E-5</v>
      </c>
      <c r="AN13" s="10">
        <v>7.7372565976895698E-5</v>
      </c>
      <c r="AO13" s="10">
        <v>3.1907810197408699E-5</v>
      </c>
      <c r="AP13" s="10">
        <v>4.5687879318690599E-5</v>
      </c>
      <c r="AQ13" s="10">
        <v>4.4290440533203901E-5</v>
      </c>
      <c r="AR13" s="10">
        <v>4.9761103192411301E-5</v>
      </c>
      <c r="AS13" s="10">
        <v>2.0630464199271101E-4</v>
      </c>
      <c r="AT13" s="10">
        <v>2.4545676153480898E-5</v>
      </c>
      <c r="AU13" s="10">
        <v>2.0769211073267199E-5</v>
      </c>
      <c r="AV13" s="10">
        <v>0</v>
      </c>
      <c r="AW13" s="10">
        <v>1.89488561999033E-5</v>
      </c>
      <c r="AX13" s="10">
        <v>0</v>
      </c>
      <c r="AY13" s="10">
        <v>1.2359986602405401E-5</v>
      </c>
      <c r="AZ13" s="10">
        <v>0</v>
      </c>
      <c r="BA13" s="10">
        <v>9.9679534229274498E-5</v>
      </c>
      <c r="BB13" s="10">
        <v>2.9258496138455999E-4</v>
      </c>
      <c r="BC13" s="10">
        <v>1.15578751809284E-4</v>
      </c>
      <c r="BD13" s="10">
        <v>2.1244230261784899E-4</v>
      </c>
      <c r="BE13" s="10">
        <v>1.4234329015900001E-4</v>
      </c>
      <c r="BF13" s="10">
        <v>4.02632659753658E-4</v>
      </c>
      <c r="BG13" s="10">
        <v>1.7644648045847601E-4</v>
      </c>
      <c r="BH13" s="10">
        <v>1.97824920559471E-4</v>
      </c>
      <c r="BI13" s="10">
        <v>2.8745641169643498E-4</v>
      </c>
      <c r="BJ13" s="10">
        <v>1.55602295655333E-4</v>
      </c>
      <c r="BK13" s="10">
        <v>0</v>
      </c>
      <c r="BL13" s="10">
        <v>8.5162617274538808E-6</v>
      </c>
      <c r="BM13" s="10">
        <v>0</v>
      </c>
      <c r="BN13" s="10">
        <v>1.4384474477557499E-4</v>
      </c>
      <c r="BO13" s="10">
        <v>2.22071077606975E-4</v>
      </c>
      <c r="BP13" s="10">
        <v>1.6206155436615901E-4</v>
      </c>
      <c r="BQ13" s="10">
        <v>2.07766249419466E-4</v>
      </c>
      <c r="BR13" s="10">
        <v>9.7712696875461703E-5</v>
      </c>
      <c r="BS13" s="10">
        <v>1.20291793477555E-4</v>
      </c>
      <c r="BT13" s="10">
        <v>0</v>
      </c>
      <c r="BU13" s="10">
        <v>0</v>
      </c>
      <c r="BV13" s="10">
        <v>2.2223374249493401E-4</v>
      </c>
      <c r="BW13" s="10">
        <v>3.1659642025419699E-4</v>
      </c>
      <c r="BX13" s="10">
        <v>0</v>
      </c>
      <c r="BY13" s="10">
        <v>0</v>
      </c>
      <c r="BZ13" s="10">
        <v>5.0092187786078402E-5</v>
      </c>
      <c r="CA13" s="10">
        <v>2.94516072271221E-5</v>
      </c>
      <c r="CB13" s="10">
        <v>0</v>
      </c>
      <c r="CC13" s="10">
        <v>1.2666015057916099E-4</v>
      </c>
      <c r="CD13" s="10">
        <v>0</v>
      </c>
      <c r="CE13" s="10">
        <v>0</v>
      </c>
      <c r="CF13" s="10">
        <v>1.48165127814266E-4</v>
      </c>
      <c r="CG13" s="10">
        <v>4.0060189560766799E-4</v>
      </c>
      <c r="CH13" s="10">
        <v>3.1408919755536701E-4</v>
      </c>
      <c r="CI13" s="10">
        <v>8.4589021265763496E-5</v>
      </c>
      <c r="CJ13" s="10">
        <v>1.99176914352646E-4</v>
      </c>
      <c r="CK13" s="10">
        <v>2.4453216896297799E-4</v>
      </c>
      <c r="CL13" s="10">
        <v>2.22794774223355E-4</v>
      </c>
      <c r="CM13" s="10">
        <v>8.0392030873091097E-5</v>
      </c>
      <c r="CN13" s="10">
        <v>3.9344225450642003E-5</v>
      </c>
    </row>
    <row r="14" spans="1:92" s="11" customFormat="1" x14ac:dyDescent="0.2">
      <c r="A14" s="10" t="s">
        <v>247</v>
      </c>
      <c r="B14" s="10" t="s">
        <v>247</v>
      </c>
      <c r="C14" s="10">
        <v>9.5380368390774812</v>
      </c>
      <c r="D14" s="10">
        <v>64</v>
      </c>
      <c r="E14" s="10">
        <v>0.93417422152148211</v>
      </c>
      <c r="F14" s="10">
        <v>7.8666666666666663</v>
      </c>
      <c r="G14" s="10">
        <v>4485.9827217093716</v>
      </c>
      <c r="H14" s="10" t="s">
        <v>381</v>
      </c>
      <c r="I14" s="10" t="s">
        <v>386</v>
      </c>
      <c r="J14" s="10">
        <v>2.3769661661293901E-3</v>
      </c>
      <c r="K14" s="10">
        <v>0</v>
      </c>
      <c r="L14" s="10">
        <v>8.3370997944491893E-3</v>
      </c>
      <c r="M14" s="10">
        <v>4.0755103463257104E-3</v>
      </c>
      <c r="N14" s="10">
        <v>0</v>
      </c>
      <c r="O14" s="10">
        <v>9.6335199256868099E-4</v>
      </c>
      <c r="P14" s="10">
        <v>6.29617803601582E-3</v>
      </c>
      <c r="Q14" s="10">
        <v>1.9055747959995401E-3</v>
      </c>
      <c r="R14" s="10">
        <v>0</v>
      </c>
      <c r="S14" s="10">
        <v>8.2668679400427995E-4</v>
      </c>
      <c r="T14" s="10">
        <v>0</v>
      </c>
      <c r="U14" s="10">
        <v>1.52437915003047E-3</v>
      </c>
      <c r="V14" s="10">
        <v>1.1067180675247399E-3</v>
      </c>
      <c r="W14" s="10">
        <v>2.3222554993080598E-3</v>
      </c>
      <c r="X14" s="10">
        <v>1.14615670668172E-3</v>
      </c>
      <c r="Y14" s="10">
        <v>1.26639737020122E-3</v>
      </c>
      <c r="Z14" s="10">
        <v>4.3056428245770899E-3</v>
      </c>
      <c r="AA14" s="10">
        <v>1.6532213301919401E-3</v>
      </c>
      <c r="AB14" s="10">
        <v>4.1339479102071898E-3</v>
      </c>
      <c r="AC14" s="10">
        <v>0</v>
      </c>
      <c r="AD14" s="10">
        <v>3.81324755088023E-3</v>
      </c>
      <c r="AE14" s="10">
        <v>2.3043264241675299E-3</v>
      </c>
      <c r="AF14" s="10">
        <v>5.8006411610927898E-3</v>
      </c>
      <c r="AG14" s="10">
        <v>6.5186700607981101E-4</v>
      </c>
      <c r="AH14" s="10">
        <v>7.8520128199605806E-3</v>
      </c>
      <c r="AI14" s="10">
        <v>3.1304948956951999E-4</v>
      </c>
      <c r="AJ14" s="10">
        <v>7.7052192328570497E-3</v>
      </c>
      <c r="AK14" s="10">
        <v>0</v>
      </c>
      <c r="AL14" s="10">
        <v>4.02840382813762E-3</v>
      </c>
      <c r="AM14" s="10">
        <v>1.33812905282781E-3</v>
      </c>
      <c r="AN14" s="10">
        <v>2.6318310114126701E-3</v>
      </c>
      <c r="AO14" s="10">
        <v>2.08586885731964E-3</v>
      </c>
      <c r="AP14" s="10">
        <v>3.14105831989235E-3</v>
      </c>
      <c r="AQ14" s="10">
        <v>2.2178848789333101E-3</v>
      </c>
      <c r="AR14" s="10">
        <v>3.7867880679565099E-3</v>
      </c>
      <c r="AS14" s="10">
        <v>2.4284155212012299E-3</v>
      </c>
      <c r="AT14" s="10">
        <v>9.5082370370098198E-4</v>
      </c>
      <c r="AU14" s="10">
        <v>1.39768723886653E-3</v>
      </c>
      <c r="AV14" s="10">
        <v>2.5691945968552201E-3</v>
      </c>
      <c r="AW14" s="10">
        <v>0</v>
      </c>
      <c r="AX14" s="10">
        <v>4.7735008034605498E-3</v>
      </c>
      <c r="AY14" s="10">
        <v>0</v>
      </c>
      <c r="AZ14" s="10">
        <v>4.62992546957433E-3</v>
      </c>
      <c r="BA14" s="10">
        <v>4.7923331344969103E-3</v>
      </c>
      <c r="BB14" s="10">
        <v>9.0413857754399699E-3</v>
      </c>
      <c r="BC14" s="10">
        <v>5.6996737852196598E-3</v>
      </c>
      <c r="BD14" s="10">
        <v>5.0311469221196699E-3</v>
      </c>
      <c r="BE14" s="10">
        <v>7.5851818991363399E-3</v>
      </c>
      <c r="BF14" s="10">
        <v>1.0478231758893E-2</v>
      </c>
      <c r="BG14" s="10">
        <v>5.9015215862397302E-3</v>
      </c>
      <c r="BH14" s="10">
        <v>0</v>
      </c>
      <c r="BI14" s="10">
        <v>0</v>
      </c>
      <c r="BJ14" s="10">
        <v>4.4063805339496203E-3</v>
      </c>
      <c r="BK14" s="10">
        <v>4.1230537832446E-3</v>
      </c>
      <c r="BL14" s="10">
        <v>0</v>
      </c>
      <c r="BM14" s="10">
        <v>9.0448839701050797E-3</v>
      </c>
      <c r="BN14" s="10">
        <v>5.3647810249192497E-3</v>
      </c>
      <c r="BO14" s="10">
        <v>0</v>
      </c>
      <c r="BP14" s="10">
        <v>3.7739922152940698E-3</v>
      </c>
      <c r="BQ14" s="10">
        <v>4.4705195661525303E-3</v>
      </c>
      <c r="BR14" s="10">
        <v>4.0087779413707E-3</v>
      </c>
      <c r="BS14" s="10">
        <v>3.5378221769878301E-3</v>
      </c>
      <c r="BT14" s="10">
        <v>4.8772610348932002E-3</v>
      </c>
      <c r="BU14" s="10">
        <v>3.3410809642316699E-3</v>
      </c>
      <c r="BV14" s="10">
        <v>3.8452802734841801E-3</v>
      </c>
      <c r="BW14" s="10">
        <v>1.1688209841524499E-2</v>
      </c>
      <c r="BX14" s="10">
        <v>5.3168205190761101E-3</v>
      </c>
      <c r="BY14" s="10">
        <v>3.2944885310730201E-3</v>
      </c>
      <c r="BZ14" s="10">
        <v>1.9358646971041099E-3</v>
      </c>
      <c r="CA14" s="10">
        <v>9.4387394967130299E-4</v>
      </c>
      <c r="CB14" s="10">
        <v>4.3091538499078199E-3</v>
      </c>
      <c r="CC14" s="10">
        <v>3.3705905590426201E-3</v>
      </c>
      <c r="CD14" s="10">
        <v>8.2721614104804995E-6</v>
      </c>
      <c r="CE14" s="10">
        <v>3.4363469039651699E-3</v>
      </c>
      <c r="CF14" s="10">
        <v>5.0659161831130197E-3</v>
      </c>
      <c r="CG14" s="10">
        <v>3.7577856185810701E-3</v>
      </c>
      <c r="CH14" s="10">
        <v>6.4089074492222498E-3</v>
      </c>
      <c r="CI14" s="10">
        <v>0</v>
      </c>
      <c r="CJ14" s="10">
        <v>4.47734953557361E-3</v>
      </c>
      <c r="CK14" s="10">
        <v>9.0640230233546698E-3</v>
      </c>
      <c r="CL14" s="10">
        <v>8.5683658180424008E-3</v>
      </c>
      <c r="CM14" s="10">
        <v>4.1543300781061096E-3</v>
      </c>
      <c r="CN14" s="10">
        <v>4.0533863439172696E-3</v>
      </c>
    </row>
    <row r="15" spans="1:92" s="11" customFormat="1" x14ac:dyDescent="0.2">
      <c r="A15" s="10" t="s">
        <v>248</v>
      </c>
      <c r="B15" s="10" t="s">
        <v>248</v>
      </c>
      <c r="C15" s="10">
        <v>9.3737975018292587</v>
      </c>
      <c r="D15" s="10">
        <v>17</v>
      </c>
      <c r="E15" s="10">
        <v>0.96228194247996224</v>
      </c>
      <c r="F15" s="10">
        <v>737</v>
      </c>
      <c r="G15" s="10">
        <v>113014.53770191169</v>
      </c>
      <c r="H15" s="10" t="s">
        <v>381</v>
      </c>
      <c r="I15" s="10" t="s">
        <v>249</v>
      </c>
      <c r="J15" s="10">
        <v>1.31686119453454E-5</v>
      </c>
      <c r="K15" s="10">
        <v>2.7797644724415699E-5</v>
      </c>
      <c r="L15" s="10">
        <v>2.4835734014724202E-4</v>
      </c>
      <c r="M15" s="10">
        <v>1.24551797630279E-4</v>
      </c>
      <c r="N15" s="10">
        <v>1.24259900065148E-5</v>
      </c>
      <c r="O15" s="10">
        <v>1.5634392115475499E-5</v>
      </c>
      <c r="P15" s="10">
        <v>1.8661734223271101E-4</v>
      </c>
      <c r="Q15" s="10">
        <v>2.9978092822990901E-5</v>
      </c>
      <c r="R15" s="10">
        <v>2.3118145885962E-5</v>
      </c>
      <c r="S15" s="10">
        <v>0</v>
      </c>
      <c r="T15" s="10">
        <v>0</v>
      </c>
      <c r="U15" s="10">
        <v>2.4421874773081201E-5</v>
      </c>
      <c r="V15" s="10">
        <v>0</v>
      </c>
      <c r="W15" s="10">
        <v>1.9009557168280799E-5</v>
      </c>
      <c r="X15" s="10">
        <v>8.8985654689364393E-6</v>
      </c>
      <c r="Y15" s="10">
        <v>2.89165848532655E-5</v>
      </c>
      <c r="Z15" s="10">
        <v>3.93523797039581E-5</v>
      </c>
      <c r="AA15" s="10">
        <v>3.8630025960195E-5</v>
      </c>
      <c r="AB15" s="10">
        <v>0</v>
      </c>
      <c r="AC15" s="10">
        <v>0</v>
      </c>
      <c r="AD15" s="10">
        <v>4.8425710345190097E-5</v>
      </c>
      <c r="AE15" s="10">
        <v>1.24842943572993E-4</v>
      </c>
      <c r="AF15" s="10">
        <v>1.62607659940284E-4</v>
      </c>
      <c r="AG15" s="10">
        <v>0</v>
      </c>
      <c r="AH15" s="10">
        <v>2.46072453799934E-4</v>
      </c>
      <c r="AI15" s="10">
        <v>1.7888008805873201E-4</v>
      </c>
      <c r="AJ15" s="10">
        <v>0</v>
      </c>
      <c r="AK15" s="10">
        <v>0</v>
      </c>
      <c r="AL15" s="10">
        <v>9.2676793641410706E-5</v>
      </c>
      <c r="AM15" s="10">
        <v>4.6881338214526502E-5</v>
      </c>
      <c r="AN15" s="10">
        <v>0</v>
      </c>
      <c r="AO15" s="10">
        <v>8.2513118282121403E-5</v>
      </c>
      <c r="AP15" s="10">
        <v>5.9438932354462802E-5</v>
      </c>
      <c r="AQ15" s="10">
        <v>9.1253808732581597E-5</v>
      </c>
      <c r="AR15" s="10">
        <v>5.0411892327906297E-5</v>
      </c>
      <c r="AS15" s="10">
        <v>8.0408137012061398E-5</v>
      </c>
      <c r="AT15" s="10">
        <v>0</v>
      </c>
      <c r="AU15" s="10">
        <v>2.0237692836901101E-5</v>
      </c>
      <c r="AV15" s="10">
        <v>0</v>
      </c>
      <c r="AW15" s="10">
        <v>3.8655651745567598E-5</v>
      </c>
      <c r="AX15" s="10">
        <v>0</v>
      </c>
      <c r="AY15" s="10">
        <v>0</v>
      </c>
      <c r="AZ15" s="10">
        <v>1.7018567440568399E-4</v>
      </c>
      <c r="BA15" s="10">
        <v>1.8747786537730499E-4</v>
      </c>
      <c r="BB15" s="10">
        <v>0</v>
      </c>
      <c r="BC15" s="10">
        <v>2.37033101962065E-4</v>
      </c>
      <c r="BD15" s="10">
        <v>3.7495487113169498E-4</v>
      </c>
      <c r="BE15" s="10">
        <v>2.59884872128538E-4</v>
      </c>
      <c r="BF15" s="10">
        <v>6.3035906112432699E-4</v>
      </c>
      <c r="BG15" s="10">
        <v>7.0046429056685598E-4</v>
      </c>
      <c r="BH15" s="10">
        <v>4.12904865070986E-4</v>
      </c>
      <c r="BI15" s="10">
        <v>3.50136188655495E-4</v>
      </c>
      <c r="BJ15" s="10">
        <v>1.47129920396575E-4</v>
      </c>
      <c r="BK15" s="10">
        <v>0</v>
      </c>
      <c r="BL15" s="10">
        <v>0</v>
      </c>
      <c r="BM15" s="10">
        <v>0</v>
      </c>
      <c r="BN15" s="10">
        <v>1.5661162650779001E-4</v>
      </c>
      <c r="BO15" s="10">
        <v>1.94076968564374E-4</v>
      </c>
      <c r="BP15" s="10">
        <v>9.4620665877528896E-5</v>
      </c>
      <c r="BQ15" s="10">
        <v>2.3162530276082499E-4</v>
      </c>
      <c r="BR15" s="10">
        <v>1.0431193459242E-4</v>
      </c>
      <c r="BS15" s="10">
        <v>1.6044640845947801E-4</v>
      </c>
      <c r="BT15" s="10">
        <v>3.2319676120108701E-4</v>
      </c>
      <c r="BU15" s="10">
        <v>2.29481669101733E-4</v>
      </c>
      <c r="BV15" s="10">
        <v>2.1367858545102999E-4</v>
      </c>
      <c r="BW15" s="10">
        <v>5.8358215043066502E-4</v>
      </c>
      <c r="BX15" s="10">
        <v>3.40328249568926E-4</v>
      </c>
      <c r="BY15" s="10">
        <v>0</v>
      </c>
      <c r="BZ15" s="10">
        <v>2.9461374182032599E-5</v>
      </c>
      <c r="CA15" s="10">
        <v>0</v>
      </c>
      <c r="CB15" s="10">
        <v>9.4794687671383705E-5</v>
      </c>
      <c r="CC15" s="10">
        <v>1.2217602746321201E-4</v>
      </c>
      <c r="CD15" s="10">
        <v>4.5134537859430502E-5</v>
      </c>
      <c r="CE15" s="10">
        <v>1.6972897949135999E-4</v>
      </c>
      <c r="CF15" s="10">
        <v>6.1560055117061401E-5</v>
      </c>
      <c r="CG15" s="10">
        <v>3.1409570657674798E-4</v>
      </c>
      <c r="CH15" s="10">
        <v>1.6915778899743701E-4</v>
      </c>
      <c r="CI15" s="10">
        <v>0</v>
      </c>
      <c r="CJ15" s="10">
        <v>1.06216258696297E-4</v>
      </c>
      <c r="CK15" s="10">
        <v>3.3315934532274401E-4</v>
      </c>
      <c r="CL15" s="10">
        <v>5.5402198630265004E-4</v>
      </c>
      <c r="CM15" s="10">
        <v>9.3372072805973096E-5</v>
      </c>
      <c r="CN15" s="10">
        <v>1.90318497309338E-4</v>
      </c>
    </row>
    <row r="16" spans="1:92" s="11" customFormat="1" x14ac:dyDescent="0.2">
      <c r="A16" s="10" t="s">
        <v>250</v>
      </c>
      <c r="B16" s="10" t="s">
        <v>387</v>
      </c>
      <c r="C16" s="10">
        <v>0.7937885828806327</v>
      </c>
      <c r="D16" s="10">
        <v>29</v>
      </c>
      <c r="E16" s="10">
        <v>0.994994994994995</v>
      </c>
      <c r="F16" s="10">
        <v>737</v>
      </c>
      <c r="G16" s="10">
        <v>16880.730251868183</v>
      </c>
      <c r="H16" s="10" t="s">
        <v>381</v>
      </c>
      <c r="I16" s="10" t="s">
        <v>249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</row>
    <row r="17" spans="1:92" s="11" customFormat="1" x14ac:dyDescent="0.2">
      <c r="A17" s="10" t="s">
        <v>257</v>
      </c>
      <c r="B17" s="10" t="s">
        <v>257</v>
      </c>
      <c r="C17" s="10">
        <v>0.34145041749109972</v>
      </c>
      <c r="D17" s="10">
        <v>3</v>
      </c>
      <c r="E17" s="10">
        <v>0.99423631123919309</v>
      </c>
      <c r="F17" s="10">
        <v>7592.6557031361144</v>
      </c>
      <c r="G17" s="10">
        <v>7732.7190224541091</v>
      </c>
      <c r="H17" s="10" t="s">
        <v>381</v>
      </c>
      <c r="I17" s="10" t="s">
        <v>254</v>
      </c>
      <c r="J17" s="10">
        <v>0</v>
      </c>
      <c r="K17" s="10">
        <v>0</v>
      </c>
      <c r="L17" s="10">
        <v>1.42091140450309E-5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3.97257403776698E-5</v>
      </c>
      <c r="BB17" s="10">
        <v>2.4363574156802401E-5</v>
      </c>
      <c r="BC17" s="10">
        <v>0</v>
      </c>
      <c r="BD17" s="10">
        <v>0</v>
      </c>
      <c r="BE17" s="10">
        <v>2.15909126304784E-5</v>
      </c>
      <c r="BF17" s="10">
        <v>2.2942196754805399E-5</v>
      </c>
      <c r="BG17" s="10">
        <v>0</v>
      </c>
      <c r="BH17" s="10">
        <v>1.32050484805701E-5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9.1385228061000301E-6</v>
      </c>
      <c r="BO17" s="10">
        <v>6.7523974936416504E-6</v>
      </c>
      <c r="BP17" s="10">
        <v>0</v>
      </c>
      <c r="BQ17" s="10">
        <v>7.7348696632603805E-6</v>
      </c>
      <c r="BR17" s="10">
        <v>0</v>
      </c>
      <c r="BS17" s="10">
        <v>2.8530277772838201E-5</v>
      </c>
      <c r="BT17" s="10">
        <v>1.2003558130584799E-5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6.4216702356787101E-6</v>
      </c>
      <c r="CH17" s="10">
        <v>1.1446428505205099E-5</v>
      </c>
      <c r="CI17" s="10">
        <v>0</v>
      </c>
      <c r="CJ17" s="10">
        <v>0</v>
      </c>
      <c r="CK17" s="10">
        <v>1.11006139678335E-5</v>
      </c>
      <c r="CL17" s="10">
        <v>2.8363838245724199E-5</v>
      </c>
      <c r="CM17" s="10">
        <v>0</v>
      </c>
      <c r="CN17" s="10">
        <v>0</v>
      </c>
    </row>
    <row r="18" spans="1:92" s="11" customFormat="1" x14ac:dyDescent="0.2">
      <c r="A18" s="10" t="s">
        <v>258</v>
      </c>
      <c r="B18" s="10" t="s">
        <v>258</v>
      </c>
      <c r="C18" s="10">
        <v>1.6983014691049805</v>
      </c>
      <c r="D18" s="10">
        <v>3</v>
      </c>
      <c r="E18" s="10">
        <v>0.99164345403899723</v>
      </c>
      <c r="F18" s="10">
        <v>7592.6557031361144</v>
      </c>
      <c r="G18" s="10">
        <v>38360.591592833953</v>
      </c>
      <c r="H18" s="10" t="s">
        <v>381</v>
      </c>
      <c r="I18" s="10" t="s">
        <v>254</v>
      </c>
      <c r="J18" s="10">
        <v>2.7947630966878899E-5</v>
      </c>
      <c r="K18" s="10">
        <v>0</v>
      </c>
      <c r="L18" s="10">
        <v>0</v>
      </c>
      <c r="M18" s="10">
        <v>7.5166789293262698E-5</v>
      </c>
      <c r="N18" s="10">
        <v>0</v>
      </c>
      <c r="O18" s="10">
        <v>1.06534433292535E-4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1.79660663818812E-5</v>
      </c>
      <c r="X18" s="10">
        <v>0</v>
      </c>
      <c r="Y18" s="10">
        <v>0</v>
      </c>
      <c r="Z18" s="10">
        <v>6.3126251318022103E-5</v>
      </c>
      <c r="AA18" s="10">
        <v>0</v>
      </c>
      <c r="AB18" s="10">
        <v>2.34878897661005E-5</v>
      </c>
      <c r="AC18" s="10">
        <v>0</v>
      </c>
      <c r="AD18" s="10">
        <v>7.1850037642700898E-5</v>
      </c>
      <c r="AE18" s="10">
        <v>4.8621460486851701E-5</v>
      </c>
      <c r="AF18" s="10">
        <v>1.0900740473073501E-4</v>
      </c>
      <c r="AG18" s="10">
        <v>0</v>
      </c>
      <c r="AH18" s="10">
        <v>1.5742728295305901E-4</v>
      </c>
      <c r="AI18" s="10">
        <v>7.8981795069562604E-5</v>
      </c>
      <c r="AJ18" s="10">
        <v>8.8419285269914795E-5</v>
      </c>
      <c r="AK18" s="10">
        <v>3.78622134925329E-4</v>
      </c>
      <c r="AL18" s="10">
        <v>1.09350557113473E-4</v>
      </c>
      <c r="AM18" s="10">
        <v>8.1726330575393404E-5</v>
      </c>
      <c r="AN18" s="10">
        <v>0</v>
      </c>
      <c r="AO18" s="10">
        <v>3.8510929421685599E-5</v>
      </c>
      <c r="AP18" s="10">
        <v>2.0439958043495601E-4</v>
      </c>
      <c r="AQ18" s="10">
        <v>3.8312456609002001E-5</v>
      </c>
      <c r="AR18" s="10">
        <v>8.56828690084021E-5</v>
      </c>
      <c r="AS18" s="10">
        <v>0</v>
      </c>
      <c r="AT18" s="10">
        <v>6.5977370054479093E-5</v>
      </c>
      <c r="AU18" s="10">
        <v>8.1107683914238401E-5</v>
      </c>
      <c r="AV18" s="10">
        <v>0</v>
      </c>
      <c r="AW18" s="10">
        <v>4.45980633410394E-5</v>
      </c>
      <c r="AX18" s="10">
        <v>0</v>
      </c>
      <c r="AY18" s="10">
        <v>0</v>
      </c>
      <c r="AZ18" s="10">
        <v>1.7907048093058299E-4</v>
      </c>
      <c r="BA18" s="10">
        <v>1.01160507630987E-4</v>
      </c>
      <c r="BB18" s="10">
        <v>2.37938653733034E-4</v>
      </c>
      <c r="BC18" s="10">
        <v>2.28575142925743E-4</v>
      </c>
      <c r="BD18" s="10">
        <v>1.40052220865536E-4</v>
      </c>
      <c r="BE18" s="10">
        <v>0</v>
      </c>
      <c r="BF18" s="10">
        <v>1.9796572283620499E-4</v>
      </c>
      <c r="BG18" s="10">
        <v>1.6818257594274801E-4</v>
      </c>
      <c r="BH18" s="10">
        <v>2.44171516205025E-5</v>
      </c>
      <c r="BI18" s="10">
        <v>1.9456557416581299E-4</v>
      </c>
      <c r="BJ18" s="10">
        <v>8.0246666394782404E-5</v>
      </c>
      <c r="BK18" s="10">
        <v>9.0423018384887903E-5</v>
      </c>
      <c r="BL18" s="10">
        <v>0</v>
      </c>
      <c r="BM18" s="10">
        <v>0</v>
      </c>
      <c r="BN18" s="10">
        <v>5.8226676248831301E-5</v>
      </c>
      <c r="BO18" s="10">
        <v>1.12182212221569E-4</v>
      </c>
      <c r="BP18" s="10">
        <v>3.1122179269438999E-5</v>
      </c>
      <c r="BQ18" s="10">
        <v>1.43080681484564E-4</v>
      </c>
      <c r="BR18" s="10">
        <v>0</v>
      </c>
      <c r="BS18" s="10">
        <v>0</v>
      </c>
      <c r="BT18" s="10">
        <v>3.5176125332077199E-5</v>
      </c>
      <c r="BU18" s="10">
        <v>1.6718988536550301E-4</v>
      </c>
      <c r="BV18" s="10">
        <v>8.7742701152923402E-5</v>
      </c>
      <c r="BW18" s="10">
        <v>2.93903663788612E-4</v>
      </c>
      <c r="BX18" s="10">
        <v>6.4014152481243697E-5</v>
      </c>
      <c r="BY18" s="10">
        <v>1.6952860954632E-4</v>
      </c>
      <c r="BZ18" s="10">
        <v>4.9042432160131901E-5</v>
      </c>
      <c r="CA18" s="10">
        <v>0</v>
      </c>
      <c r="CB18" s="10">
        <v>2.18077570376333E-4</v>
      </c>
      <c r="CC18" s="10">
        <v>0</v>
      </c>
      <c r="CD18" s="10">
        <v>4.4151147958625499E-5</v>
      </c>
      <c r="CE18" s="10">
        <v>0</v>
      </c>
      <c r="CF18" s="10">
        <v>6.9636029404929699E-5</v>
      </c>
      <c r="CG18" s="10">
        <v>0</v>
      </c>
      <c r="CH18" s="10">
        <v>1.36598207378815E-4</v>
      </c>
      <c r="CI18" s="10">
        <v>3.8682363348607102E-5</v>
      </c>
      <c r="CJ18" s="10">
        <v>1.16478830103503E-4</v>
      </c>
      <c r="CK18" s="10">
        <v>2.5034677434719398E-4</v>
      </c>
      <c r="CL18" s="10">
        <v>1.73894561585657E-4</v>
      </c>
      <c r="CM18" s="10">
        <v>0</v>
      </c>
      <c r="CN18" s="10">
        <v>2.50695189201417E-5</v>
      </c>
    </row>
    <row r="19" spans="1:92" s="11" customFormat="1" x14ac:dyDescent="0.2">
      <c r="A19" s="10" t="s">
        <v>259</v>
      </c>
      <c r="B19" s="10" t="s">
        <v>259</v>
      </c>
      <c r="C19" s="10">
        <v>0.68051532204848386</v>
      </c>
      <c r="D19" s="10">
        <v>6</v>
      </c>
      <c r="E19" s="10">
        <v>0.97971014492753628</v>
      </c>
      <c r="F19" s="10">
        <v>749.04096752631585</v>
      </c>
      <c r="G19" s="10">
        <v>2996.3485751715384</v>
      </c>
      <c r="H19" s="10" t="s">
        <v>381</v>
      </c>
      <c r="I19" s="10" t="s">
        <v>254</v>
      </c>
      <c r="J19" s="10">
        <v>3.2037233016662699E-5</v>
      </c>
      <c r="K19" s="10">
        <v>6.8003615007262001E-5</v>
      </c>
      <c r="L19" s="10">
        <v>5.9694868521860403E-5</v>
      </c>
      <c r="M19" s="10">
        <v>0</v>
      </c>
      <c r="N19" s="10">
        <v>1.21707684497271E-4</v>
      </c>
      <c r="O19" s="10">
        <v>0</v>
      </c>
      <c r="P19" s="10">
        <v>1.2498100137290101E-4</v>
      </c>
      <c r="Q19" s="10">
        <v>3.4017860823894903E-5</v>
      </c>
      <c r="R19" s="10">
        <v>0</v>
      </c>
      <c r="S19" s="10">
        <v>0</v>
      </c>
      <c r="T19" s="10">
        <v>0</v>
      </c>
      <c r="U19" s="10">
        <v>7.5050052433851296E-5</v>
      </c>
      <c r="V19" s="10">
        <v>0</v>
      </c>
      <c r="W19" s="10">
        <v>1.0115631496568901E-4</v>
      </c>
      <c r="X19" s="10">
        <v>2.8014895060105398E-5</v>
      </c>
      <c r="Y19" s="10">
        <v>8.4221699354334906E-5</v>
      </c>
      <c r="Z19" s="10">
        <v>1.4789006506092599E-4</v>
      </c>
      <c r="AA19" s="10">
        <v>1.00802661739148E-4</v>
      </c>
      <c r="AB19" s="10">
        <v>0</v>
      </c>
      <c r="AC19" s="10">
        <v>4.2346351685433302E-5</v>
      </c>
      <c r="AD19" s="10">
        <v>1.1115935036023601E-4</v>
      </c>
      <c r="AE19" s="10">
        <v>2.2895809343400401E-5</v>
      </c>
      <c r="AF19" s="10">
        <v>1.0563966127327E-4</v>
      </c>
      <c r="AG19" s="10">
        <v>9.2870973934023406E-5</v>
      </c>
      <c r="AH19" s="10">
        <v>3.2896295941903302E-4</v>
      </c>
      <c r="AI19" s="10">
        <v>8.4976727077597301E-5</v>
      </c>
      <c r="AJ19" s="10">
        <v>0</v>
      </c>
      <c r="AK19" s="10">
        <v>2.66180355038712E-4</v>
      </c>
      <c r="AL19" s="10">
        <v>0</v>
      </c>
      <c r="AM19" s="10">
        <v>1.11982459039268E-4</v>
      </c>
      <c r="AN19" s="10">
        <v>0</v>
      </c>
      <c r="AO19" s="10">
        <v>0</v>
      </c>
      <c r="AP19" s="10">
        <v>2.14613481590864E-4</v>
      </c>
      <c r="AQ19" s="10">
        <v>8.3655789073741295E-5</v>
      </c>
      <c r="AR19" s="10">
        <v>2.4749475520601099E-5</v>
      </c>
      <c r="AS19" s="10">
        <v>7.3895671503092006E-5</v>
      </c>
      <c r="AT19" s="10">
        <v>4.3795450696360498E-5</v>
      </c>
      <c r="AU19" s="10">
        <v>0</v>
      </c>
      <c r="AV19" s="10">
        <v>0</v>
      </c>
      <c r="AW19" s="10">
        <v>0</v>
      </c>
      <c r="AX19" s="10">
        <v>9.4286605374493507E-5</v>
      </c>
      <c r="AY19" s="10">
        <v>0</v>
      </c>
      <c r="AZ19" s="10">
        <v>2.3648848548984399E-4</v>
      </c>
      <c r="BA19" s="10">
        <v>2.45636556207057E-5</v>
      </c>
      <c r="BB19" s="10">
        <v>8.4416239172924399E-5</v>
      </c>
      <c r="BC19" s="10">
        <v>0</v>
      </c>
      <c r="BD19" s="10">
        <v>0</v>
      </c>
      <c r="BE19" s="10">
        <v>2.6239587293274601E-4</v>
      </c>
      <c r="BF19" s="10">
        <v>1.05841259678043E-4</v>
      </c>
      <c r="BG19" s="10">
        <v>2.0142575491828801E-5</v>
      </c>
      <c r="BH19" s="10">
        <v>1.6774516069659E-4</v>
      </c>
      <c r="BI19" s="10">
        <v>0</v>
      </c>
      <c r="BJ19" s="10">
        <v>6.4852242802154096E-5</v>
      </c>
      <c r="BK19" s="10">
        <v>0</v>
      </c>
      <c r="BL19" s="10">
        <v>0</v>
      </c>
      <c r="BM19" s="10">
        <v>0</v>
      </c>
      <c r="BN19" s="10">
        <v>7.0595496991168296E-5</v>
      </c>
      <c r="BO19" s="10">
        <v>8.5316690404256207E-5</v>
      </c>
      <c r="BP19" s="10">
        <v>1.33642318066252E-4</v>
      </c>
      <c r="BQ19" s="10">
        <v>1.83480535931445E-4</v>
      </c>
      <c r="BR19" s="10">
        <v>1.4510119862778901E-4</v>
      </c>
      <c r="BS19" s="10">
        <v>0</v>
      </c>
      <c r="BT19" s="10">
        <v>4.1557460427398099E-4</v>
      </c>
      <c r="BU19" s="10">
        <v>2.7671519003128798E-4</v>
      </c>
      <c r="BV19" s="10">
        <v>2.4469776350843903E-4</v>
      </c>
      <c r="BW19" s="10">
        <v>1.4759817920733501E-4</v>
      </c>
      <c r="BX19" s="10">
        <v>1.2881487012976001E-4</v>
      </c>
      <c r="BY19" s="10">
        <v>0</v>
      </c>
      <c r="BZ19" s="10">
        <v>6.1275378135489702E-5</v>
      </c>
      <c r="CA19" s="10">
        <v>2.4303398050852199E-5</v>
      </c>
      <c r="CB19" s="10">
        <v>4.8945638692853603E-5</v>
      </c>
      <c r="CC19" s="10">
        <v>4.3224104052439799E-5</v>
      </c>
      <c r="CD19" s="10">
        <v>0</v>
      </c>
      <c r="CE19" s="10">
        <v>3.6518253579666298E-4</v>
      </c>
      <c r="CF19" s="10">
        <v>1.00065875622123E-4</v>
      </c>
      <c r="CG19" s="10">
        <v>2.76366246400204E-5</v>
      </c>
      <c r="CH19" s="10">
        <v>0</v>
      </c>
      <c r="CI19" s="10">
        <v>6.05533256462254E-5</v>
      </c>
      <c r="CJ19" s="10">
        <v>1.3939108545287499E-4</v>
      </c>
      <c r="CK19" s="10">
        <v>1.69043314689301E-4</v>
      </c>
      <c r="CL19" s="10">
        <v>1.80965588716536E-4</v>
      </c>
      <c r="CM19" s="10">
        <v>1.0266986713446399E-4</v>
      </c>
      <c r="CN19" s="10">
        <v>0</v>
      </c>
    </row>
    <row r="20" spans="1:92" s="11" customFormat="1" x14ac:dyDescent="0.2">
      <c r="A20" s="10" t="s">
        <v>263</v>
      </c>
      <c r="B20" s="10" t="s">
        <v>263</v>
      </c>
      <c r="C20" s="10">
        <v>0.79300494374104413</v>
      </c>
      <c r="D20" s="10">
        <v>175</v>
      </c>
      <c r="E20" s="10">
        <v>0.8892900120336944</v>
      </c>
      <c r="F20" s="10">
        <v>870.03947368421052</v>
      </c>
      <c r="G20" s="10">
        <v>107373.30351620528</v>
      </c>
      <c r="H20" s="10" t="s">
        <v>381</v>
      </c>
      <c r="I20" s="10" t="s">
        <v>384</v>
      </c>
      <c r="J20" s="10">
        <v>8.7444198212012101E-4</v>
      </c>
      <c r="K20" s="10">
        <v>1.6093555423996001E-3</v>
      </c>
      <c r="L20" s="10">
        <v>3.5576481965407902E-3</v>
      </c>
      <c r="M20" s="10">
        <v>1.56496633646194E-3</v>
      </c>
      <c r="N20" s="10">
        <v>0</v>
      </c>
      <c r="O20" s="10">
        <v>7.2332920426537695E-4</v>
      </c>
      <c r="P20" s="10">
        <v>2.8993857493884801E-3</v>
      </c>
      <c r="Q20" s="10">
        <v>0</v>
      </c>
      <c r="R20" s="10">
        <v>6.8748305785595702E-4</v>
      </c>
      <c r="S20" s="10">
        <v>3.58791379564156E-4</v>
      </c>
      <c r="T20" s="10">
        <v>0</v>
      </c>
      <c r="U20" s="10">
        <v>1.3350452932841799E-3</v>
      </c>
      <c r="V20" s="10">
        <v>3.1442567360946E-4</v>
      </c>
      <c r="W20" s="10">
        <v>0</v>
      </c>
      <c r="X20" s="10">
        <v>0</v>
      </c>
      <c r="Y20" s="10">
        <v>5.1883229362495399E-4</v>
      </c>
      <c r="Z20" s="10">
        <v>1.95147952946482E-3</v>
      </c>
      <c r="AA20" s="10">
        <v>7.6181759685801302E-4</v>
      </c>
      <c r="AB20" s="10">
        <v>1.18644333234046E-3</v>
      </c>
      <c r="AC20" s="10">
        <v>1.3290367804538301E-3</v>
      </c>
      <c r="AD20" s="10">
        <v>7.7584863430934701E-4</v>
      </c>
      <c r="AE20" s="10">
        <v>0</v>
      </c>
      <c r="AF20" s="10">
        <v>0</v>
      </c>
      <c r="AG20" s="10">
        <v>8.1819910480643396E-4</v>
      </c>
      <c r="AH20" s="10">
        <v>2.42886848574466E-3</v>
      </c>
      <c r="AI20" s="10">
        <v>0</v>
      </c>
      <c r="AJ20" s="10">
        <v>0</v>
      </c>
      <c r="AK20" s="10">
        <v>6.6416043426438401E-3</v>
      </c>
      <c r="AL20" s="10">
        <v>9.6611761372531401E-4</v>
      </c>
      <c r="AM20" s="10">
        <v>1.7903420000470499E-3</v>
      </c>
      <c r="AN20" s="10">
        <v>8.6828440328524004E-4</v>
      </c>
      <c r="AO20" s="10">
        <v>2.1827449896591501E-3</v>
      </c>
      <c r="AP20" s="10">
        <v>1.3286604266571501E-3</v>
      </c>
      <c r="AQ20" s="10">
        <v>1.9582178273156101E-3</v>
      </c>
      <c r="AR20" s="10">
        <v>1.24844380888771E-3</v>
      </c>
      <c r="AS20" s="10">
        <v>1.3147827576086399E-3</v>
      </c>
      <c r="AT20" s="10">
        <v>4.1758318266794399E-4</v>
      </c>
      <c r="AU20" s="10">
        <v>1.2557089798546099E-3</v>
      </c>
      <c r="AV20" s="10">
        <v>7.3865901063992602E-4</v>
      </c>
      <c r="AW20" s="10">
        <v>1.5799451133391301E-3</v>
      </c>
      <c r="AX20" s="10">
        <v>1.7800450757236199E-3</v>
      </c>
      <c r="AY20" s="10">
        <v>6.2934965723265802E-4</v>
      </c>
      <c r="AZ20" s="10">
        <v>2.4700514528327999E-3</v>
      </c>
      <c r="BA20" s="10">
        <v>1.8355237151314E-3</v>
      </c>
      <c r="BB20" s="10">
        <v>8.9857845208831007E-3</v>
      </c>
      <c r="BC20" s="10">
        <v>1.82913179938566E-3</v>
      </c>
      <c r="BD20" s="10">
        <v>2.7695933005180999E-3</v>
      </c>
      <c r="BE20" s="10">
        <v>2.1815089545651001E-3</v>
      </c>
      <c r="BF20" s="10">
        <v>5.5228977138442699E-3</v>
      </c>
      <c r="BG20" s="10">
        <v>1.66033988219731E-3</v>
      </c>
      <c r="BH20" s="10">
        <v>2.6470552128254202E-3</v>
      </c>
      <c r="BI20" s="10">
        <v>3.07402220306712E-3</v>
      </c>
      <c r="BJ20" s="10">
        <v>3.4984768140783802E-3</v>
      </c>
      <c r="BK20" s="10">
        <v>1.7540945532348101E-3</v>
      </c>
      <c r="BL20" s="10">
        <v>0</v>
      </c>
      <c r="BM20" s="10">
        <v>0</v>
      </c>
      <c r="BN20" s="10">
        <v>2.8828696098454798E-3</v>
      </c>
      <c r="BO20" s="10">
        <v>1.31295850264869E-3</v>
      </c>
      <c r="BP20" s="10">
        <v>2.0044904893198202E-3</v>
      </c>
      <c r="BQ20" s="10">
        <v>0</v>
      </c>
      <c r="BR20" s="10">
        <v>2.9197656839991299E-3</v>
      </c>
      <c r="BS20" s="10">
        <v>1.94605450588983E-3</v>
      </c>
      <c r="BT20" s="10">
        <v>3.5161630031588201E-3</v>
      </c>
      <c r="BU20" s="10">
        <v>3.7014680071275801E-3</v>
      </c>
      <c r="BV20" s="10">
        <v>2.28647259279039E-3</v>
      </c>
      <c r="BW20" s="10">
        <v>5.4236917640425302E-3</v>
      </c>
      <c r="BX20" s="10">
        <v>0</v>
      </c>
      <c r="BY20" s="10">
        <v>3.6202203057721901E-3</v>
      </c>
      <c r="BZ20" s="10">
        <v>1.18327584755306E-3</v>
      </c>
      <c r="CA20" s="10">
        <v>2.98806472104348E-4</v>
      </c>
      <c r="CB20" s="10">
        <v>1.8716687961723101E-3</v>
      </c>
      <c r="CC20" s="10">
        <v>2.8621737873350101E-3</v>
      </c>
      <c r="CD20" s="10">
        <v>1.3106568450576099E-3</v>
      </c>
      <c r="CE20" s="10">
        <v>2.4155831972346E-3</v>
      </c>
      <c r="CF20" s="10">
        <v>1.6139088385263699E-3</v>
      </c>
      <c r="CG20" s="10">
        <v>4.8373331662983302E-3</v>
      </c>
      <c r="CH20" s="10">
        <v>2.5444856151466298E-3</v>
      </c>
      <c r="CI20" s="10">
        <v>0</v>
      </c>
      <c r="CJ20" s="10">
        <v>1.03557128612675E-3</v>
      </c>
      <c r="CK20" s="10">
        <v>5.4673263736278498E-3</v>
      </c>
      <c r="CL20" s="10">
        <v>3.5202458891169402E-3</v>
      </c>
      <c r="CM20" s="10">
        <v>6.3042873483268097E-4</v>
      </c>
      <c r="CN20" s="10">
        <v>0</v>
      </c>
    </row>
    <row r="21" spans="1:92" s="11" customFormat="1" x14ac:dyDescent="0.2">
      <c r="A21" s="10" t="s">
        <v>264</v>
      </c>
      <c r="B21" s="10" t="s">
        <v>264</v>
      </c>
      <c r="C21" s="10">
        <v>7.0412060153884699</v>
      </c>
      <c r="D21" s="10">
        <v>4</v>
      </c>
      <c r="E21" s="10">
        <v>0.92500000000000004</v>
      </c>
      <c r="F21" s="10">
        <v>870.03947368421052</v>
      </c>
      <c r="G21" s="10">
        <v>22666.670550203522</v>
      </c>
      <c r="H21" s="10" t="s">
        <v>381</v>
      </c>
      <c r="I21" s="10" t="s">
        <v>384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1.2681277319888E-5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1.29351955910353E-5</v>
      </c>
      <c r="AX21" s="10">
        <v>0</v>
      </c>
      <c r="AY21" s="10">
        <v>0</v>
      </c>
      <c r="AZ21" s="10">
        <v>0</v>
      </c>
      <c r="BA21" s="10">
        <v>0</v>
      </c>
      <c r="BB21" s="10">
        <v>2.9640805391959902E-5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4.03454905216839E-5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1.0622971100666E-5</v>
      </c>
      <c r="BX21" s="10">
        <v>0</v>
      </c>
      <c r="BY21" s="10">
        <v>0</v>
      </c>
      <c r="BZ21" s="10">
        <v>7.93664582084241E-6</v>
      </c>
      <c r="CA21" s="10">
        <v>0</v>
      </c>
      <c r="CB21" s="10">
        <v>0</v>
      </c>
      <c r="CC21" s="10">
        <v>0</v>
      </c>
      <c r="CD21" s="10">
        <v>0</v>
      </c>
      <c r="CE21" s="10">
        <v>1.3576317938438499E-5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</row>
    <row r="22" spans="1:92" s="11" customFormat="1" x14ac:dyDescent="0.2">
      <c r="A22" s="10" t="s">
        <v>266</v>
      </c>
      <c r="B22" s="10" t="s">
        <v>266</v>
      </c>
      <c r="C22" s="10">
        <v>0.24812068677609997</v>
      </c>
      <c r="D22" s="10">
        <v>11</v>
      </c>
      <c r="E22" s="10">
        <v>0.93269230769230771</v>
      </c>
      <c r="F22" s="10">
        <v>5115.8947368421059</v>
      </c>
      <c r="G22" s="10">
        <v>13023.138362724279</v>
      </c>
      <c r="H22" s="10" t="s">
        <v>381</v>
      </c>
      <c r="I22" s="10" t="s">
        <v>254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2.19506305386192E-5</v>
      </c>
      <c r="AE22" s="10">
        <v>0</v>
      </c>
      <c r="AF22" s="10">
        <v>0</v>
      </c>
      <c r="AG22" s="10">
        <v>2.1257197129173801E-5</v>
      </c>
      <c r="AH22" s="10">
        <v>0</v>
      </c>
      <c r="AI22" s="10">
        <v>1.78753271952545E-5</v>
      </c>
      <c r="AJ22" s="10">
        <v>1.1753304829382399E-5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1.17399973802522E-5</v>
      </c>
      <c r="AQ22" s="10">
        <v>1.02902991416846E-5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1.77988113506323E-5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1.02295610840248E-5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1.8966404124407499E-5</v>
      </c>
      <c r="CE22" s="10">
        <v>0</v>
      </c>
      <c r="CF22" s="10">
        <v>0</v>
      </c>
      <c r="CG22" s="10">
        <v>0</v>
      </c>
      <c r="CH22" s="10">
        <v>2.24283848719257E-5</v>
      </c>
      <c r="CI22" s="10">
        <v>0</v>
      </c>
      <c r="CJ22" s="10">
        <v>0</v>
      </c>
      <c r="CK22" s="10">
        <v>1.7124503949036399E-5</v>
      </c>
      <c r="CL22" s="10">
        <v>0</v>
      </c>
      <c r="CM22" s="10">
        <v>0</v>
      </c>
      <c r="CN22" s="10">
        <v>0</v>
      </c>
    </row>
    <row r="23" spans="1:92" s="11" customFormat="1" x14ac:dyDescent="0.2">
      <c r="A23" s="10" t="s">
        <v>276</v>
      </c>
      <c r="B23" s="10" t="s">
        <v>276</v>
      </c>
      <c r="C23" s="10">
        <v>0.65778433622207422</v>
      </c>
      <c r="D23" s="10">
        <v>101</v>
      </c>
      <c r="E23" s="10">
        <v>0.65649786455155579</v>
      </c>
      <c r="F23" s="10">
        <v>1428.0543218075413</v>
      </c>
      <c r="G23" s="10">
        <v>62284.925150560914</v>
      </c>
      <c r="H23" s="10" t="s">
        <v>381</v>
      </c>
      <c r="I23" s="10" t="s">
        <v>254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8.2658781706207398E-6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8.8655360475599305E-5</v>
      </c>
      <c r="AB23" s="10">
        <v>0</v>
      </c>
      <c r="AC23" s="10">
        <v>0</v>
      </c>
      <c r="AD23" s="10">
        <v>0</v>
      </c>
      <c r="AE23" s="10">
        <v>0</v>
      </c>
      <c r="AF23" s="10">
        <v>9.0864658771748699E-6</v>
      </c>
      <c r="AG23" s="10">
        <v>0</v>
      </c>
      <c r="AH23" s="10">
        <v>0</v>
      </c>
      <c r="AI23" s="10">
        <v>0</v>
      </c>
      <c r="AJ23" s="10">
        <v>0</v>
      </c>
      <c r="AK23" s="10">
        <v>1.00427580545927E-5</v>
      </c>
      <c r="AL23" s="10">
        <v>0</v>
      </c>
      <c r="AM23" s="10">
        <v>0</v>
      </c>
      <c r="AN23" s="10">
        <v>0</v>
      </c>
      <c r="AO23" s="10">
        <v>3.7303879536168301E-5</v>
      </c>
      <c r="AP23" s="10">
        <v>0</v>
      </c>
      <c r="AQ23" s="10">
        <v>0</v>
      </c>
      <c r="AR23" s="10">
        <v>6.6353983431176398E-5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1.2653189142138599E-5</v>
      </c>
      <c r="AY23" s="10">
        <v>3.40540680859038E-5</v>
      </c>
      <c r="AZ23" s="10">
        <v>0</v>
      </c>
      <c r="BA23" s="10">
        <v>0</v>
      </c>
      <c r="BB23" s="10">
        <v>0</v>
      </c>
      <c r="BC23" s="10">
        <v>2.46501746124005E-5</v>
      </c>
      <c r="BD23" s="10">
        <v>0</v>
      </c>
      <c r="BE23" s="10">
        <v>0</v>
      </c>
      <c r="BF23" s="10">
        <v>0</v>
      </c>
      <c r="BG23" s="10">
        <v>1.79371731308183E-5</v>
      </c>
      <c r="BH23" s="10">
        <v>0</v>
      </c>
      <c r="BI23" s="10">
        <v>6.6545393883057105E-5</v>
      </c>
      <c r="BJ23" s="10">
        <v>0</v>
      </c>
      <c r="BK23" s="10">
        <v>1.7217972109844802E-5</v>
      </c>
      <c r="BL23" s="10">
        <v>0</v>
      </c>
      <c r="BM23" s="10">
        <v>1.70501419877713E-5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1.14465866445513E-5</v>
      </c>
      <c r="CE23" s="10">
        <v>0</v>
      </c>
      <c r="CF23" s="10">
        <v>0</v>
      </c>
      <c r="CG23" s="10">
        <v>0</v>
      </c>
      <c r="CH23" s="10">
        <v>1.0782662204605E-5</v>
      </c>
      <c r="CI23" s="10">
        <v>2.8308444089932699E-5</v>
      </c>
      <c r="CJ23" s="10">
        <v>0</v>
      </c>
      <c r="CK23" s="10">
        <v>0</v>
      </c>
      <c r="CL23" s="10">
        <v>9.58998659259363E-5</v>
      </c>
      <c r="CM23" s="10">
        <v>1.53179271589342E-4</v>
      </c>
      <c r="CN23" s="10">
        <v>1.31812622289022E-5</v>
      </c>
    </row>
    <row r="24" spans="1:92" s="11" customFormat="1" x14ac:dyDescent="0.2">
      <c r="A24" s="10" t="s">
        <v>298</v>
      </c>
      <c r="B24" s="10" t="s">
        <v>298</v>
      </c>
      <c r="C24" s="10">
        <v>10.598125199295803</v>
      </c>
      <c r="D24" s="10">
        <v>301</v>
      </c>
      <c r="E24" s="10">
        <v>0.85296646603611348</v>
      </c>
      <c r="F24" s="10">
        <v>0.85675699999999999</v>
      </c>
      <c r="G24" s="10">
        <v>2331.2301978816758</v>
      </c>
      <c r="H24" s="10" t="s">
        <v>381</v>
      </c>
      <c r="I24" s="10" t="s">
        <v>299</v>
      </c>
      <c r="J24" s="10">
        <v>4.0423694212918301E-3</v>
      </c>
      <c r="K24" s="10">
        <v>7.31320925167692E-3</v>
      </c>
      <c r="L24" s="10">
        <v>2.5922268220650302E-3</v>
      </c>
      <c r="M24" s="10">
        <v>2.7499702783157401E-2</v>
      </c>
      <c r="N24" s="10">
        <v>8.6697584964526998E-3</v>
      </c>
      <c r="O24" s="10">
        <v>1.09114885180541E-3</v>
      </c>
      <c r="P24" s="10">
        <v>0</v>
      </c>
      <c r="Q24" s="10">
        <v>7.9576530466252005E-5</v>
      </c>
      <c r="R24" s="10">
        <v>0</v>
      </c>
      <c r="S24" s="10">
        <v>6.0483929707440703E-5</v>
      </c>
      <c r="T24" s="10">
        <v>1.4528072551552899E-4</v>
      </c>
      <c r="U24" s="10">
        <v>3.3109452554095601E-4</v>
      </c>
      <c r="V24" s="10">
        <v>1.0000805937257501E-2</v>
      </c>
      <c r="W24" s="10">
        <v>0</v>
      </c>
      <c r="X24" s="10">
        <v>1.50925978430264E-3</v>
      </c>
      <c r="Y24" s="10">
        <v>1.85133921311829E-3</v>
      </c>
      <c r="Z24" s="10">
        <v>1.4002964893374699E-3</v>
      </c>
      <c r="AA24" s="10">
        <v>1.32449706418944E-2</v>
      </c>
      <c r="AB24" s="10">
        <v>4.10622743190984E-3</v>
      </c>
      <c r="AC24" s="10">
        <v>2.44511899782505E-4</v>
      </c>
      <c r="AD24" s="10">
        <v>9.3820771525069993E-5</v>
      </c>
      <c r="AE24" s="10">
        <v>3.7955961723371701E-4</v>
      </c>
      <c r="AF24" s="10">
        <v>0</v>
      </c>
      <c r="AG24" s="10">
        <v>3.39780147078078E-3</v>
      </c>
      <c r="AH24" s="10">
        <v>0</v>
      </c>
      <c r="AI24" s="10">
        <v>3.5415306114238198E-5</v>
      </c>
      <c r="AJ24" s="10">
        <v>9.0899187225917995E-3</v>
      </c>
      <c r="AK24" s="10">
        <v>0</v>
      </c>
      <c r="AL24" s="10">
        <v>0</v>
      </c>
      <c r="AM24" s="10">
        <v>0</v>
      </c>
      <c r="AN24" s="10">
        <v>0</v>
      </c>
      <c r="AO24" s="10">
        <v>3.6161879942869297E-5</v>
      </c>
      <c r="AP24" s="10">
        <v>0</v>
      </c>
      <c r="AQ24" s="10">
        <v>0</v>
      </c>
      <c r="AR24" s="10">
        <v>2.6703918876535701E-5</v>
      </c>
      <c r="AS24" s="10">
        <v>0</v>
      </c>
      <c r="AT24" s="10">
        <v>2.1633709816150601E-4</v>
      </c>
      <c r="AU24" s="10">
        <v>1.96581208227104E-4</v>
      </c>
      <c r="AV24" s="10">
        <v>0</v>
      </c>
      <c r="AW24" s="10">
        <v>0</v>
      </c>
      <c r="AX24" s="10">
        <v>0</v>
      </c>
      <c r="AY24" s="10">
        <v>1.8933416993872701E-2</v>
      </c>
      <c r="AZ24" s="10">
        <v>0</v>
      </c>
      <c r="BA24" s="10">
        <v>0</v>
      </c>
      <c r="BB24" s="10">
        <v>1.0745781362199301E-5</v>
      </c>
      <c r="BC24" s="10">
        <v>0</v>
      </c>
      <c r="BD24" s="10">
        <v>3.7722111983395202E-5</v>
      </c>
      <c r="BE24" s="10">
        <v>0</v>
      </c>
      <c r="BF24" s="10">
        <v>1.6058316006250099E-5</v>
      </c>
      <c r="BG24" s="10">
        <v>0</v>
      </c>
      <c r="BH24" s="10">
        <v>1.4514296812073099E-3</v>
      </c>
      <c r="BI24" s="10">
        <v>1.2975526829262201E-4</v>
      </c>
      <c r="BJ24" s="10">
        <v>7.4387335007390905E-5</v>
      </c>
      <c r="BK24" s="10">
        <v>0</v>
      </c>
      <c r="BL24" s="10">
        <v>0</v>
      </c>
      <c r="BM24" s="10">
        <v>0</v>
      </c>
      <c r="BN24" s="10">
        <v>0</v>
      </c>
      <c r="BO24" s="10">
        <v>4.72080433029105E-3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9.1736253581920999E-6</v>
      </c>
      <c r="BW24" s="10">
        <v>0</v>
      </c>
      <c r="BX24" s="10">
        <v>0</v>
      </c>
      <c r="BY24" s="10">
        <v>0</v>
      </c>
      <c r="BZ24" s="10">
        <v>7.6775738043750907E-5</v>
      </c>
      <c r="CA24" s="10">
        <v>0</v>
      </c>
      <c r="CB24" s="10">
        <v>0</v>
      </c>
      <c r="CC24" s="10">
        <v>0</v>
      </c>
      <c r="CD24" s="10">
        <v>0</v>
      </c>
      <c r="CE24" s="10">
        <v>2.2978199726175E-5</v>
      </c>
      <c r="CF24" s="10">
        <v>3.6289919096464598E-4</v>
      </c>
      <c r="CG24" s="10">
        <v>0</v>
      </c>
      <c r="CH24" s="10">
        <v>0</v>
      </c>
      <c r="CI24" s="10">
        <v>2.7215229438734101E-4</v>
      </c>
      <c r="CJ24" s="10">
        <v>0</v>
      </c>
      <c r="CK24" s="10">
        <v>4.6779438003618998E-5</v>
      </c>
      <c r="CL24" s="10">
        <v>0</v>
      </c>
      <c r="CM24" s="10">
        <v>0</v>
      </c>
      <c r="CN24" s="10">
        <v>0</v>
      </c>
    </row>
    <row r="25" spans="1:92" s="11" customFormat="1" x14ac:dyDescent="0.2">
      <c r="A25" s="10" t="s">
        <v>300</v>
      </c>
      <c r="B25" s="10" t="s">
        <v>300</v>
      </c>
      <c r="C25" s="10">
        <v>7.4772216680671342</v>
      </c>
      <c r="D25" s="10">
        <v>271</v>
      </c>
      <c r="E25" s="10">
        <v>0.85441657579062158</v>
      </c>
      <c r="F25" s="10">
        <v>0.85675699999999999</v>
      </c>
      <c r="G25" s="10">
        <v>1483.3269020809055</v>
      </c>
      <c r="H25" s="10" t="s">
        <v>381</v>
      </c>
      <c r="I25" s="10" t="s">
        <v>299</v>
      </c>
      <c r="J25" s="10">
        <v>9.3023997838694097E-3</v>
      </c>
      <c r="K25" s="10">
        <v>1.5090269639236599E-2</v>
      </c>
      <c r="L25" s="10">
        <v>8.7544325303558906E-3</v>
      </c>
      <c r="M25" s="10">
        <v>3.8707489085323697E-2</v>
      </c>
      <c r="N25" s="10">
        <v>1.75313758275712E-3</v>
      </c>
      <c r="O25" s="10">
        <v>2.7609084122112498E-4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1.2669661154788999E-3</v>
      </c>
      <c r="V25" s="10">
        <v>9.0891652626120395E-3</v>
      </c>
      <c r="W25" s="10">
        <v>2.96677765938121E-4</v>
      </c>
      <c r="X25" s="10">
        <v>5.9802040119419104E-4</v>
      </c>
      <c r="Y25" s="10">
        <v>6.2226732935654902E-3</v>
      </c>
      <c r="Z25" s="10">
        <v>2.66341597323643E-3</v>
      </c>
      <c r="AA25" s="10">
        <v>1.8356209260450201E-2</v>
      </c>
      <c r="AB25" s="10">
        <v>6.2139105894625799E-3</v>
      </c>
      <c r="AC25" s="10">
        <v>8.9631362861210896E-5</v>
      </c>
      <c r="AD25" s="10">
        <v>2.26669454783657E-4</v>
      </c>
      <c r="AE25" s="10">
        <v>2.9720492372224E-4</v>
      </c>
      <c r="AF25" s="10">
        <v>5.3092234018830998E-3</v>
      </c>
      <c r="AG25" s="10">
        <v>3.8693944108107101E-3</v>
      </c>
      <c r="AH25" s="10">
        <v>2.61100077060694E-5</v>
      </c>
      <c r="AI25" s="10">
        <v>1.1847262193567E-4</v>
      </c>
      <c r="AJ25" s="10">
        <v>5.3887371469829104E-3</v>
      </c>
      <c r="AK25" s="10">
        <v>0</v>
      </c>
      <c r="AL25" s="10">
        <v>0</v>
      </c>
      <c r="AM25" s="10">
        <v>0</v>
      </c>
      <c r="AN25" s="10">
        <v>3.1478497871536898E-5</v>
      </c>
      <c r="AO25" s="10">
        <v>1.2805100755047599E-4</v>
      </c>
      <c r="AP25" s="10">
        <v>0</v>
      </c>
      <c r="AQ25" s="10">
        <v>0</v>
      </c>
      <c r="AR25" s="10">
        <v>0</v>
      </c>
      <c r="AS25" s="10">
        <v>0</v>
      </c>
      <c r="AT25" s="10">
        <v>5.1434793432245201E-5</v>
      </c>
      <c r="AU25" s="10">
        <v>1.97896448355508E-5</v>
      </c>
      <c r="AV25" s="10">
        <v>0</v>
      </c>
      <c r="AW25" s="10">
        <v>4.9762478161500197E-5</v>
      </c>
      <c r="AX25" s="10">
        <v>0</v>
      </c>
      <c r="AY25" s="10">
        <v>4.1333958585949099E-2</v>
      </c>
      <c r="AZ25" s="10">
        <v>0</v>
      </c>
      <c r="BA25" s="10">
        <v>0</v>
      </c>
      <c r="BB25" s="10">
        <v>1.20839800609894E-4</v>
      </c>
      <c r="BC25" s="10">
        <v>0</v>
      </c>
      <c r="BD25" s="10">
        <v>1.3641810110463201E-4</v>
      </c>
      <c r="BE25" s="10">
        <v>1.5456458778910399E-5</v>
      </c>
      <c r="BF25" s="10">
        <v>0</v>
      </c>
      <c r="BG25" s="10">
        <v>0</v>
      </c>
      <c r="BH25" s="10">
        <v>8.8808390645428795E-4</v>
      </c>
      <c r="BI25" s="10">
        <v>2.5327597740788902E-4</v>
      </c>
      <c r="BJ25" s="10">
        <v>0</v>
      </c>
      <c r="BK25" s="10">
        <v>0</v>
      </c>
      <c r="BL25" s="10">
        <v>3.1705893755783103E-5</v>
      </c>
      <c r="BM25" s="10">
        <v>4.3660027005301E-4</v>
      </c>
      <c r="BN25" s="10">
        <v>0</v>
      </c>
      <c r="BO25" s="10">
        <v>8.9508442456207003E-3</v>
      </c>
      <c r="BP25" s="10">
        <v>8.9306897018136096E-5</v>
      </c>
      <c r="BQ25" s="10">
        <v>0</v>
      </c>
      <c r="BR25" s="10">
        <v>0</v>
      </c>
      <c r="BS25" s="10">
        <v>2.8969366620904899E-5</v>
      </c>
      <c r="BT25" s="10">
        <v>0</v>
      </c>
      <c r="BU25" s="10">
        <v>0</v>
      </c>
      <c r="BV25" s="10">
        <v>0</v>
      </c>
      <c r="BW25" s="10">
        <v>0</v>
      </c>
      <c r="BX25" s="10">
        <v>5.05262422518344E-5</v>
      </c>
      <c r="BY25" s="10">
        <v>0</v>
      </c>
      <c r="BZ25" s="10">
        <v>6.9842053494192696E-4</v>
      </c>
      <c r="CA25" s="10">
        <v>0</v>
      </c>
      <c r="CB25" s="10">
        <v>0</v>
      </c>
      <c r="CC25" s="10">
        <v>5.3000137950719201E-5</v>
      </c>
      <c r="CD25" s="10">
        <v>3.7594126634939703E-5</v>
      </c>
      <c r="CE25" s="10">
        <v>1.4884217237764999E-4</v>
      </c>
      <c r="CF25" s="10">
        <v>6.2290095971474801E-4</v>
      </c>
      <c r="CG25" s="10">
        <v>3.2255739273791803E-5</v>
      </c>
      <c r="CH25" s="10">
        <v>3.6151639698948198E-5</v>
      </c>
      <c r="CI25" s="10">
        <v>7.6734205354157001E-4</v>
      </c>
      <c r="CJ25" s="10">
        <v>7.6054514793062495E-4</v>
      </c>
      <c r="CK25" s="10">
        <v>1.5167988824018501E-4</v>
      </c>
      <c r="CL25" s="10">
        <v>1.9126257567877501E-5</v>
      </c>
      <c r="CM25" s="10">
        <v>7.9221488838413E-4</v>
      </c>
      <c r="CN25" s="10">
        <v>0</v>
      </c>
    </row>
    <row r="26" spans="1:92" s="11" customFormat="1" x14ac:dyDescent="0.2">
      <c r="A26" s="10" t="s">
        <v>306</v>
      </c>
      <c r="B26" s="10" t="s">
        <v>306</v>
      </c>
      <c r="C26" s="10">
        <v>13.148964380354368</v>
      </c>
      <c r="D26" s="10">
        <v>1</v>
      </c>
      <c r="E26" s="10">
        <v>8.3333333333333329E-2</v>
      </c>
      <c r="F26" s="10">
        <v>688.97368421052636</v>
      </c>
      <c r="G26" s="10">
        <v>754.94086939047747</v>
      </c>
      <c r="H26" s="10" t="s">
        <v>381</v>
      </c>
      <c r="I26" s="10" t="s">
        <v>305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2.7198001913695699E-5</v>
      </c>
      <c r="W26" s="10">
        <v>0</v>
      </c>
      <c r="X26" s="10">
        <v>3.1005447223159397E-5</v>
      </c>
      <c r="Y26" s="10">
        <v>2.8687387515695902E-5</v>
      </c>
      <c r="Z26" s="10">
        <v>3.2431347971770601E-5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1.0978600959106199E-5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7.5146022810968502E-5</v>
      </c>
      <c r="BI26" s="10">
        <v>0</v>
      </c>
      <c r="BJ26" s="10">
        <v>0</v>
      </c>
      <c r="BK26" s="10">
        <v>2.9017834538403501E-5</v>
      </c>
      <c r="BL26" s="10">
        <v>0</v>
      </c>
      <c r="BM26" s="10">
        <v>0</v>
      </c>
      <c r="BN26" s="10">
        <v>0</v>
      </c>
      <c r="BO26" s="10">
        <v>8.8706817804133997E-5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</row>
    <row r="27" spans="1:92" s="11" customFormat="1" x14ac:dyDescent="0.2">
      <c r="A27" s="10" t="s">
        <v>312</v>
      </c>
      <c r="B27" s="10" t="s">
        <v>312</v>
      </c>
      <c r="C27" s="10">
        <v>8.6912211387116152</v>
      </c>
      <c r="D27" s="10">
        <v>135</v>
      </c>
      <c r="E27" s="10">
        <v>0.831989247311828</v>
      </c>
      <c r="F27" s="10">
        <v>688.97368421052636</v>
      </c>
      <c r="G27" s="10">
        <v>672566.01155786496</v>
      </c>
      <c r="H27" s="10" t="s">
        <v>381</v>
      </c>
      <c r="I27" s="10" t="s">
        <v>305</v>
      </c>
      <c r="J27" s="10">
        <v>0</v>
      </c>
      <c r="K27" s="10">
        <v>3.0335139748446E-5</v>
      </c>
      <c r="L27" s="10">
        <v>0</v>
      </c>
      <c r="M27" s="10">
        <v>1.12062162774987E-4</v>
      </c>
      <c r="N27" s="10">
        <v>0</v>
      </c>
      <c r="O27" s="10">
        <v>0</v>
      </c>
      <c r="P27" s="10">
        <v>0</v>
      </c>
      <c r="Q27" s="10">
        <v>5.23354544891066E-5</v>
      </c>
      <c r="R27" s="10">
        <v>0</v>
      </c>
      <c r="S27" s="10">
        <v>0</v>
      </c>
      <c r="T27" s="10">
        <v>0</v>
      </c>
      <c r="U27" s="10">
        <v>0</v>
      </c>
      <c r="V27" s="10">
        <v>2.38943378480937E-4</v>
      </c>
      <c r="W27" s="10">
        <v>5.0630008465234198E-5</v>
      </c>
      <c r="X27" s="10">
        <v>0</v>
      </c>
      <c r="Y27" s="10">
        <v>4.6176817702471401E-5</v>
      </c>
      <c r="Z27" s="10">
        <v>0</v>
      </c>
      <c r="AA27" s="10">
        <v>2.6281188427579402E-5</v>
      </c>
      <c r="AB27" s="10">
        <v>6.6341608944049394E-5</v>
      </c>
      <c r="AC27" s="10">
        <v>0</v>
      </c>
      <c r="AD27" s="10">
        <v>0</v>
      </c>
      <c r="AE27" s="10">
        <v>3.50342641399858E-5</v>
      </c>
      <c r="AF27" s="10">
        <v>2.50847628738846E-5</v>
      </c>
      <c r="AG27" s="10">
        <v>1.15480591579148E-4</v>
      </c>
      <c r="AH27" s="10">
        <v>0</v>
      </c>
      <c r="AI27" s="10">
        <v>0</v>
      </c>
      <c r="AJ27" s="10">
        <v>3.4077050667849197E-4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5.4579933224605598E-5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3.2758046872976401E-5</v>
      </c>
      <c r="BO27" s="10">
        <v>2.7340156738020997E-4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5.3135038550014498E-5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</row>
    <row r="28" spans="1:92" s="11" customFormat="1" x14ac:dyDescent="0.2">
      <c r="A28" s="10" t="s">
        <v>313</v>
      </c>
      <c r="B28" s="10" t="s">
        <v>313</v>
      </c>
      <c r="C28" s="10">
        <v>57.864108714249959</v>
      </c>
      <c r="D28" s="10">
        <v>35</v>
      </c>
      <c r="E28" s="10">
        <v>0.76076555023923442</v>
      </c>
      <c r="F28" s="10">
        <v>688.97368421052636</v>
      </c>
      <c r="G28" s="10">
        <v>1061526.3638036875</v>
      </c>
      <c r="H28" s="10" t="s">
        <v>381</v>
      </c>
      <c r="I28" s="10" t="s">
        <v>305</v>
      </c>
      <c r="J28" s="10">
        <v>0</v>
      </c>
      <c r="K28" s="10">
        <v>0</v>
      </c>
      <c r="L28" s="10">
        <v>0</v>
      </c>
      <c r="M28" s="10">
        <v>3.11832947671783E-5</v>
      </c>
      <c r="N28" s="10">
        <v>0</v>
      </c>
      <c r="O28" s="10">
        <v>0</v>
      </c>
      <c r="P28" s="10">
        <v>0</v>
      </c>
      <c r="Q28" s="10">
        <v>0</v>
      </c>
      <c r="R28" s="10">
        <v>3.6326620758136602E-5</v>
      </c>
      <c r="S28" s="10">
        <v>0</v>
      </c>
      <c r="T28" s="10">
        <v>0</v>
      </c>
      <c r="U28" s="10">
        <v>3.4061831797325603E-5</v>
      </c>
      <c r="V28" s="10">
        <v>2.8622067395181702E-5</v>
      </c>
      <c r="W28" s="10">
        <v>1.55703724068697E-5</v>
      </c>
      <c r="X28" s="10">
        <v>3.4428254128180403E-5</v>
      </c>
      <c r="Y28" s="10">
        <v>0</v>
      </c>
      <c r="Z28" s="10">
        <v>3.3763619707411297E-5</v>
      </c>
      <c r="AA28" s="10">
        <v>2.67301256349512E-5</v>
      </c>
      <c r="AB28" s="10">
        <v>2.82555002060021E-5</v>
      </c>
      <c r="AC28" s="10">
        <v>0</v>
      </c>
      <c r="AD28" s="10">
        <v>0</v>
      </c>
      <c r="AE28" s="10">
        <v>0</v>
      </c>
      <c r="AF28" s="10">
        <v>0</v>
      </c>
      <c r="AG28" s="10">
        <v>7.2076717518299502E-5</v>
      </c>
      <c r="AH28" s="10">
        <v>0</v>
      </c>
      <c r="AI28" s="10">
        <v>0</v>
      </c>
      <c r="AJ28" s="10">
        <v>2.0190078151104899E-5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2.1613893141647799E-5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3.8716848581879901E-5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</row>
    <row r="29" spans="1:92" s="11" customFormat="1" x14ac:dyDescent="0.2">
      <c r="A29" s="10" t="s">
        <v>315</v>
      </c>
      <c r="B29" s="10" t="s">
        <v>315</v>
      </c>
      <c r="C29" s="10">
        <v>183.30279178852345</v>
      </c>
      <c r="D29" s="10">
        <v>16</v>
      </c>
      <c r="E29" s="10">
        <v>0.18181818181818182</v>
      </c>
      <c r="F29" s="10">
        <v>688.97368421052636</v>
      </c>
      <c r="G29" s="10">
        <v>367391.4175552408</v>
      </c>
      <c r="H29" s="10" t="s">
        <v>381</v>
      </c>
      <c r="I29" s="10" t="s">
        <v>305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</row>
    <row r="30" spans="1:92" s="11" customFormat="1" x14ac:dyDescent="0.2">
      <c r="A30" s="10" t="s">
        <v>319</v>
      </c>
      <c r="B30" s="10" t="s">
        <v>319</v>
      </c>
      <c r="C30" s="10">
        <v>51.317902292906737</v>
      </c>
      <c r="D30" s="10">
        <v>24</v>
      </c>
      <c r="E30" s="10">
        <v>9.0909090909090905E-3</v>
      </c>
      <c r="F30" s="10">
        <v>688.97368421052636</v>
      </c>
      <c r="G30" s="10">
        <v>7714.1856455344941</v>
      </c>
      <c r="H30" s="10" t="s">
        <v>381</v>
      </c>
      <c r="I30" s="10" t="s">
        <v>305</v>
      </c>
      <c r="J30" s="10">
        <v>0</v>
      </c>
      <c r="K30" s="10">
        <v>0</v>
      </c>
      <c r="L30" s="10">
        <v>0</v>
      </c>
      <c r="M30" s="10">
        <v>1.4265040204248101E-4</v>
      </c>
      <c r="N30" s="10">
        <v>0</v>
      </c>
      <c r="O30" s="10">
        <v>0</v>
      </c>
      <c r="P30" s="10">
        <v>0</v>
      </c>
      <c r="Q30" s="10">
        <v>4.0621784697906299E-5</v>
      </c>
      <c r="R30" s="10">
        <v>0</v>
      </c>
      <c r="S30" s="10">
        <v>0</v>
      </c>
      <c r="T30" s="10">
        <v>0</v>
      </c>
      <c r="U30" s="10">
        <v>0</v>
      </c>
      <c r="V30" s="10">
        <v>3.1988803782689298E-5</v>
      </c>
      <c r="W30" s="10">
        <v>2.87816707012975E-5</v>
      </c>
      <c r="X30" s="10">
        <v>0</v>
      </c>
      <c r="Y30" s="10">
        <v>0</v>
      </c>
      <c r="Z30" s="10">
        <v>0</v>
      </c>
      <c r="AA30" s="10">
        <v>1.83544341434662E-5</v>
      </c>
      <c r="AB30" s="10">
        <v>4.0045894602586502E-5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6.8035565669202297E-5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3.7845565588663497E-5</v>
      </c>
      <c r="BL30" s="10">
        <v>0</v>
      </c>
      <c r="BM30" s="10">
        <v>0</v>
      </c>
      <c r="BN30" s="10">
        <v>0</v>
      </c>
      <c r="BO30" s="10">
        <v>1.85097690495857E-5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</row>
    <row r="31" spans="1:92" s="11" customFormat="1" x14ac:dyDescent="0.2">
      <c r="A31" s="10" t="s">
        <v>320</v>
      </c>
      <c r="B31" s="10" t="s">
        <v>320</v>
      </c>
      <c r="C31" s="10">
        <v>17.863424917243726</v>
      </c>
      <c r="D31" s="10">
        <v>24</v>
      </c>
      <c r="E31" s="10">
        <v>0.11538461538461539</v>
      </c>
      <c r="F31" s="10">
        <v>690.19756480754131</v>
      </c>
      <c r="G31" s="10">
        <v>34142.655813241778</v>
      </c>
      <c r="H31" s="10" t="s">
        <v>381</v>
      </c>
      <c r="I31" s="10" t="s">
        <v>305</v>
      </c>
      <c r="J31" s="10">
        <v>7.1608569819852502E-4</v>
      </c>
      <c r="K31" s="10">
        <v>1.5201729485403699E-3</v>
      </c>
      <c r="L31" s="10">
        <v>3.0224143322395299E-3</v>
      </c>
      <c r="M31" s="10">
        <v>1.6408957871378801E-2</v>
      </c>
      <c r="N31" s="10">
        <v>1.79365123131117E-4</v>
      </c>
      <c r="O31" s="10">
        <v>2.0386421535867001E-5</v>
      </c>
      <c r="P31" s="10">
        <v>0</v>
      </c>
      <c r="Q31" s="10">
        <v>3.5554289145617699E-5</v>
      </c>
      <c r="R31" s="10">
        <v>0</v>
      </c>
      <c r="S31" s="10">
        <v>0</v>
      </c>
      <c r="T31" s="10">
        <v>1.41208552114658E-5</v>
      </c>
      <c r="U31" s="10">
        <v>1.7374487382053E-5</v>
      </c>
      <c r="V31" s="10">
        <v>1.4183943740457899E-3</v>
      </c>
      <c r="W31" s="10">
        <v>1.58478006660402E-4</v>
      </c>
      <c r="X31" s="10">
        <v>8.7678477527419798E-5</v>
      </c>
      <c r="Y31" s="10">
        <v>6.6475406233458697E-4</v>
      </c>
      <c r="Z31" s="10">
        <v>1.7145296502677401E-4</v>
      </c>
      <c r="AA31" s="10">
        <v>5.3303165363041798E-3</v>
      </c>
      <c r="AB31" s="10">
        <v>4.9173939209382295E-4</v>
      </c>
      <c r="AC31" s="10">
        <v>8.3656366949455807E-5</v>
      </c>
      <c r="AD31" s="10">
        <v>3.2736783027644799E-5</v>
      </c>
      <c r="AE31" s="10">
        <v>0</v>
      </c>
      <c r="AF31" s="10">
        <v>0</v>
      </c>
      <c r="AG31" s="10">
        <v>1.56701083723186E-3</v>
      </c>
      <c r="AH31" s="10">
        <v>0</v>
      </c>
      <c r="AI31" s="10">
        <v>0</v>
      </c>
      <c r="AJ31" s="10">
        <v>4.2627022675521898E-3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1.1355702337112099E-2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3.52790595964838E-5</v>
      </c>
      <c r="BI31" s="10">
        <v>4.5683461122679099E-5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5.2923919477741103E-4</v>
      </c>
      <c r="BP31" s="10">
        <v>1.6942246648727899E-5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1.9052018739047301E-5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3.8325691548183E-5</v>
      </c>
      <c r="CK31" s="10">
        <v>0</v>
      </c>
      <c r="CL31" s="10">
        <v>0</v>
      </c>
      <c r="CM31" s="10">
        <v>0</v>
      </c>
      <c r="CN31" s="10">
        <v>0</v>
      </c>
    </row>
    <row r="32" spans="1:92" s="11" customFormat="1" x14ac:dyDescent="0.2">
      <c r="A32" s="10" t="s">
        <v>331</v>
      </c>
      <c r="B32" s="10" t="s">
        <v>331</v>
      </c>
      <c r="C32" s="10">
        <v>13.604163854594308</v>
      </c>
      <c r="D32" s="10">
        <v>24</v>
      </c>
      <c r="E32" s="10">
        <v>0.94082293111419324</v>
      </c>
      <c r="F32" s="10">
        <v>7649.0193296496445</v>
      </c>
      <c r="G32" s="10">
        <v>2349615.2289052843</v>
      </c>
      <c r="H32" s="10" t="s">
        <v>381</v>
      </c>
      <c r="I32" s="10" t="s">
        <v>254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1.39496400043212E-5</v>
      </c>
      <c r="AE32" s="10">
        <v>0</v>
      </c>
      <c r="AF32" s="10">
        <v>9.0782471085585098E-6</v>
      </c>
      <c r="AG32" s="10">
        <v>0</v>
      </c>
      <c r="AH32" s="10">
        <v>1.87646729722683E-5</v>
      </c>
      <c r="AI32" s="10">
        <v>0</v>
      </c>
      <c r="AJ32" s="10">
        <v>1.8308341306271401E-5</v>
      </c>
      <c r="AK32" s="10">
        <v>9.1100340455710101E-6</v>
      </c>
      <c r="AL32" s="10">
        <v>0</v>
      </c>
      <c r="AM32" s="10">
        <v>0</v>
      </c>
      <c r="AN32" s="10">
        <v>0</v>
      </c>
      <c r="AO32" s="10">
        <v>0</v>
      </c>
      <c r="AP32" s="10">
        <v>3.71696096311491E-5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1.4736522108909599E-5</v>
      </c>
      <c r="BB32" s="10">
        <v>3.1683999663108702E-5</v>
      </c>
      <c r="BC32" s="10">
        <v>0</v>
      </c>
      <c r="BD32" s="10">
        <v>9.8219789717741494E-6</v>
      </c>
      <c r="BE32" s="10">
        <v>1.49603240251588E-5</v>
      </c>
      <c r="BF32" s="10">
        <v>0</v>
      </c>
      <c r="BG32" s="10">
        <v>1.05179717495991E-5</v>
      </c>
      <c r="BH32" s="10">
        <v>0</v>
      </c>
      <c r="BI32" s="10">
        <v>2.1539965333134099E-5</v>
      </c>
      <c r="BJ32" s="10">
        <v>0</v>
      </c>
      <c r="BK32" s="10">
        <v>0</v>
      </c>
      <c r="BL32" s="10">
        <v>0</v>
      </c>
      <c r="BM32" s="10">
        <v>1.47466033881985E-5</v>
      </c>
      <c r="BN32" s="10">
        <v>9.4845340497199295E-6</v>
      </c>
      <c r="BO32" s="10">
        <v>7.2918210162807798E-6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1.07963013940625E-5</v>
      </c>
      <c r="BY32" s="10">
        <v>0</v>
      </c>
      <c r="BZ32" s="10">
        <v>0</v>
      </c>
      <c r="CA32" s="10">
        <v>4.9117358196587501E-5</v>
      </c>
      <c r="CB32" s="10">
        <v>0</v>
      </c>
      <c r="CC32" s="10">
        <v>0</v>
      </c>
      <c r="CD32" s="10">
        <v>0</v>
      </c>
      <c r="CE32" s="10">
        <v>0</v>
      </c>
      <c r="CF32" s="10">
        <v>2.1858633077558001E-5</v>
      </c>
      <c r="CG32" s="10">
        <v>1.09799661187732E-5</v>
      </c>
      <c r="CH32" s="10">
        <v>0</v>
      </c>
      <c r="CI32" s="10">
        <v>0</v>
      </c>
      <c r="CJ32" s="10">
        <v>0</v>
      </c>
      <c r="CK32" s="10">
        <v>0</v>
      </c>
      <c r="CL32" s="10">
        <v>9.74459962446932E-6</v>
      </c>
      <c r="CM32" s="10">
        <v>0</v>
      </c>
      <c r="CN32" s="10">
        <v>0</v>
      </c>
    </row>
    <row r="33" spans="1:93" s="11" customForma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>
        <f>SUM(J2:J32)</f>
        <v>1.7936284195046746E-2</v>
      </c>
      <c r="K33" s="10">
        <f t="shared" ref="K33:BV33" si="0">SUM(K2:K32)</f>
        <v>2.6853695504287341E-2</v>
      </c>
      <c r="L33" s="10">
        <f t="shared" si="0"/>
        <v>2.9139292592886112E-2</v>
      </c>
      <c r="M33" s="10">
        <f t="shared" si="0"/>
        <v>0.11764280141737289</v>
      </c>
      <c r="N33" s="10">
        <f t="shared" si="0"/>
        <v>1.1499668584627818E-2</v>
      </c>
      <c r="O33" s="10">
        <f t="shared" si="0"/>
        <v>3.3687466678466731E-3</v>
      </c>
      <c r="P33" s="10">
        <f t="shared" si="0"/>
        <v>1.0428114274759988E-2</v>
      </c>
      <c r="Q33" s="10">
        <f t="shared" si="0"/>
        <v>2.2570639762051693E-3</v>
      </c>
      <c r="R33" s="10">
        <f t="shared" si="0"/>
        <v>8.7153261073398829E-4</v>
      </c>
      <c r="S33" s="10">
        <f t="shared" si="0"/>
        <v>1.2825701030418023E-3</v>
      </c>
      <c r="T33" s="10">
        <f t="shared" si="0"/>
        <v>1.7162875212215899E-4</v>
      </c>
      <c r="U33" s="10">
        <f t="shared" si="0"/>
        <v>5.1695505615680874E-3</v>
      </c>
      <c r="V33" s="10">
        <f t="shared" si="0"/>
        <v>2.4330923037873643E-2</v>
      </c>
      <c r="W33" s="10">
        <f t="shared" si="0"/>
        <v>3.8765618690799813E-3</v>
      </c>
      <c r="X33" s="10">
        <f t="shared" si="0"/>
        <v>4.3824131397971868E-3</v>
      </c>
      <c r="Y33" s="10">
        <f t="shared" si="0"/>
        <v>1.1544634573478697E-2</v>
      </c>
      <c r="Z33" s="10">
        <f t="shared" si="0"/>
        <v>1.1826631533669101E-2</v>
      </c>
      <c r="AA33" s="10">
        <f t="shared" si="0"/>
        <v>4.2731943394873989E-2</v>
      </c>
      <c r="AB33" s="10">
        <f t="shared" si="0"/>
        <v>1.6791728122762216E-2</v>
      </c>
      <c r="AC33" s="10">
        <f t="shared" si="0"/>
        <v>1.8610878369431257E-3</v>
      </c>
      <c r="AD33" s="10">
        <f t="shared" si="0"/>
        <v>5.5365782046587191E-3</v>
      </c>
      <c r="AE33" s="10">
        <f t="shared" si="0"/>
        <v>3.6665086661265135E-3</v>
      </c>
      <c r="AF33" s="10">
        <f t="shared" si="0"/>
        <v>1.1868395485618882E-2</v>
      </c>
      <c r="AG33" s="10">
        <f t="shared" si="0"/>
        <v>1.1640150733592397E-2</v>
      </c>
      <c r="AH33" s="10">
        <f t="shared" si="0"/>
        <v>1.1661522040909478E-2</v>
      </c>
      <c r="AI33" s="10">
        <f t="shared" si="0"/>
        <v>1.1461671883694648E-3</v>
      </c>
      <c r="AJ33" s="10">
        <f t="shared" si="0"/>
        <v>3.0899605538800997E-2</v>
      </c>
      <c r="AK33" s="10">
        <f t="shared" si="0"/>
        <v>7.9345757003325794E-3</v>
      </c>
      <c r="AL33" s="10">
        <f t="shared" si="0"/>
        <v>5.3385795776559226E-3</v>
      </c>
      <c r="AM33" s="10">
        <f t="shared" si="0"/>
        <v>3.4731575985279188E-3</v>
      </c>
      <c r="AN33" s="10">
        <f t="shared" si="0"/>
        <v>3.7178962209442699E-3</v>
      </c>
      <c r="AO33" s="10">
        <f t="shared" si="0"/>
        <v>4.774494166200691E-3</v>
      </c>
      <c r="AP33" s="10">
        <f t="shared" si="0"/>
        <v>5.2486801217922815E-3</v>
      </c>
      <c r="AQ33" s="10">
        <f t="shared" si="0"/>
        <v>4.6792904016957574E-3</v>
      </c>
      <c r="AR33" s="10">
        <f t="shared" si="0"/>
        <v>5.4655333175453345E-3</v>
      </c>
      <c r="AS33" s="10">
        <f t="shared" si="0"/>
        <v>4.1689958535363145E-3</v>
      </c>
      <c r="AT33" s="10">
        <f t="shared" si="0"/>
        <v>1.8772180029982362E-3</v>
      </c>
      <c r="AU33" s="10">
        <f t="shared" si="0"/>
        <v>3.0590293033509845E-3</v>
      </c>
      <c r="AV33" s="10">
        <f t="shared" si="0"/>
        <v>3.3078536074951461E-3</v>
      </c>
      <c r="AW33" s="10">
        <f t="shared" si="0"/>
        <v>1.9634550167866504E-3</v>
      </c>
      <c r="AX33" s="10">
        <f t="shared" si="0"/>
        <v>6.9058444347498546E-3</v>
      </c>
      <c r="AY33" s="10">
        <f t="shared" si="0"/>
        <v>8.1206319050206685E-2</v>
      </c>
      <c r="AZ33" s="10">
        <f t="shared" si="0"/>
        <v>7.7901267952429007E-3</v>
      </c>
      <c r="BA33" s="10">
        <f t="shared" si="0"/>
        <v>7.4083799395903019E-3</v>
      </c>
      <c r="BB33" s="10">
        <f t="shared" si="0"/>
        <v>1.9160413124063056E-2</v>
      </c>
      <c r="BC33" s="10">
        <f t="shared" si="0"/>
        <v>8.4195170621176162E-3</v>
      </c>
      <c r="BD33" s="10">
        <f t="shared" si="0"/>
        <v>9.1791086095487466E-3</v>
      </c>
      <c r="BE33" s="10">
        <f t="shared" si="0"/>
        <v>1.1145653243352288E-2</v>
      </c>
      <c r="BF33" s="10">
        <f t="shared" si="0"/>
        <v>1.8002707547196111E-2</v>
      </c>
      <c r="BG33" s="10">
        <f t="shared" si="0"/>
        <v>9.2910820692396843E-3</v>
      </c>
      <c r="BH33" s="10">
        <f t="shared" si="0"/>
        <v>6.6822939950511541E-3</v>
      </c>
      <c r="BI33" s="10">
        <f t="shared" si="0"/>
        <v>4.8201198309882967E-3</v>
      </c>
      <c r="BJ33" s="10">
        <f t="shared" si="0"/>
        <v>8.5271515580474973E-3</v>
      </c>
      <c r="BK33" s="10">
        <f t="shared" si="0"/>
        <v>6.2947376479076502E-3</v>
      </c>
      <c r="BL33" s="10">
        <f t="shared" si="0"/>
        <v>6.726808451665929E-5</v>
      </c>
      <c r="BM33" s="10">
        <f t="shared" si="0"/>
        <v>1.0395893591478092E-2</v>
      </c>
      <c r="BN33" s="10">
        <f t="shared" si="0"/>
        <v>9.0311410216938233E-3</v>
      </c>
      <c r="BO33" s="10">
        <f t="shared" si="0"/>
        <v>1.9018127488797817E-2</v>
      </c>
      <c r="BP33" s="10">
        <f t="shared" si="0"/>
        <v>6.7877875048630524E-3</v>
      </c>
      <c r="BQ33" s="10">
        <f t="shared" si="0"/>
        <v>5.7613417807494483E-3</v>
      </c>
      <c r="BR33" s="10">
        <f t="shared" si="0"/>
        <v>7.3823136601036329E-3</v>
      </c>
      <c r="BS33" s="10">
        <f t="shared" si="0"/>
        <v>6.161445109658846E-3</v>
      </c>
      <c r="BT33" s="10">
        <f t="shared" si="0"/>
        <v>9.4268604097789786E-3</v>
      </c>
      <c r="BU33" s="10">
        <f t="shared" si="0"/>
        <v>8.1243810771232383E-3</v>
      </c>
      <c r="BV33" s="10">
        <f t="shared" si="0"/>
        <v>7.0413279866428456E-3</v>
      </c>
      <c r="BW33" s="10">
        <f t="shared" ref="BW33:CN33" si="1">SUM(BW2:BW32)</f>
        <v>1.8719478291619806E-2</v>
      </c>
      <c r="BX33" s="10">
        <f t="shared" si="1"/>
        <v>5.9810428826902505E-3</v>
      </c>
      <c r="BY33" s="10">
        <f t="shared" si="1"/>
        <v>7.1984652957161454E-3</v>
      </c>
      <c r="BZ33" s="10">
        <f t="shared" si="1"/>
        <v>4.2816442020406006E-3</v>
      </c>
      <c r="CA33" s="10">
        <f t="shared" si="1"/>
        <v>1.3677208611638611E-3</v>
      </c>
      <c r="CB33" s="10">
        <f t="shared" si="1"/>
        <v>6.8293822955016788E-3</v>
      </c>
      <c r="CC33" s="10">
        <f t="shared" si="1"/>
        <v>7.0628569060609426E-3</v>
      </c>
      <c r="CD33" s="10">
        <f t="shared" si="1"/>
        <v>1.5744826513689465E-3</v>
      </c>
      <c r="CE33" s="10">
        <f t="shared" si="1"/>
        <v>7.0717084279368417E-3</v>
      </c>
      <c r="CF33" s="10">
        <f t="shared" si="1"/>
        <v>8.2244571460046694E-3</v>
      </c>
      <c r="CG33" s="10">
        <f t="shared" si="1"/>
        <v>9.7025422858501801E-3</v>
      </c>
      <c r="CH33" s="10">
        <f t="shared" si="1"/>
        <v>1.0249745774376462E-2</v>
      </c>
      <c r="CI33" s="10">
        <f t="shared" si="1"/>
        <v>1.3979810697826263E-3</v>
      </c>
      <c r="CJ33" s="10">
        <f t="shared" si="1"/>
        <v>7.1796014323240323E-3</v>
      </c>
      <c r="CK33" s="10">
        <f t="shared" si="1"/>
        <v>1.6499228850717872E-2</v>
      </c>
      <c r="CL33" s="10">
        <f t="shared" si="1"/>
        <v>1.4181531847267502E-2</v>
      </c>
      <c r="CM33" s="10">
        <f t="shared" si="1"/>
        <v>6.3332578171387908E-3</v>
      </c>
      <c r="CN33" s="10">
        <f t="shared" si="1"/>
        <v>4.6646195259009912E-3</v>
      </c>
      <c r="CO33" s="11">
        <f>AVERAGE(J33:CN33)</f>
        <v>1.0939104213037173E-2</v>
      </c>
    </row>
    <row r="34" spans="1:93" s="11" customFormat="1" x14ac:dyDescent="0.2">
      <c r="A34" s="10"/>
      <c r="B34" s="10"/>
      <c r="C34" s="10"/>
      <c r="D34" s="10"/>
      <c r="E34" s="10"/>
      <c r="F34" s="10"/>
      <c r="G34" s="10"/>
      <c r="H34" s="10"/>
      <c r="I34" s="16" t="s">
        <v>413</v>
      </c>
      <c r="J34" s="10">
        <f>COUNTIF(J2:J32,"&gt;0")</f>
        <v>14</v>
      </c>
      <c r="K34" s="10">
        <f t="shared" ref="K34:BV34" si="2">COUNTIF(K2:K32,"&gt;0")</f>
        <v>15</v>
      </c>
      <c r="L34" s="10">
        <f t="shared" si="2"/>
        <v>17</v>
      </c>
      <c r="M34" s="10">
        <f t="shared" si="2"/>
        <v>18</v>
      </c>
      <c r="N34" s="10">
        <f t="shared" si="2"/>
        <v>10</v>
      </c>
      <c r="O34" s="10">
        <f t="shared" si="2"/>
        <v>12</v>
      </c>
      <c r="P34" s="10">
        <f t="shared" si="2"/>
        <v>9</v>
      </c>
      <c r="Q34" s="10">
        <f t="shared" si="2"/>
        <v>10</v>
      </c>
      <c r="R34" s="10">
        <f t="shared" si="2"/>
        <v>5</v>
      </c>
      <c r="S34" s="10">
        <f t="shared" si="2"/>
        <v>4</v>
      </c>
      <c r="T34" s="10">
        <f t="shared" si="2"/>
        <v>3</v>
      </c>
      <c r="U34" s="10">
        <f t="shared" si="2"/>
        <v>17</v>
      </c>
      <c r="V34" s="10">
        <f t="shared" si="2"/>
        <v>17</v>
      </c>
      <c r="W34" s="10">
        <f t="shared" si="2"/>
        <v>15</v>
      </c>
      <c r="X34" s="10">
        <f t="shared" si="2"/>
        <v>13</v>
      </c>
      <c r="Y34" s="10">
        <f t="shared" si="2"/>
        <v>17</v>
      </c>
      <c r="Z34" s="10">
        <f t="shared" si="2"/>
        <v>16</v>
      </c>
      <c r="AA34" s="10">
        <f t="shared" si="2"/>
        <v>18</v>
      </c>
      <c r="AB34" s="10">
        <f t="shared" si="2"/>
        <v>15</v>
      </c>
      <c r="AC34" s="10">
        <f t="shared" si="2"/>
        <v>8</v>
      </c>
      <c r="AD34" s="10">
        <f t="shared" si="2"/>
        <v>14</v>
      </c>
      <c r="AE34" s="10">
        <f t="shared" si="2"/>
        <v>13</v>
      </c>
      <c r="AF34" s="10">
        <f t="shared" si="2"/>
        <v>12</v>
      </c>
      <c r="AG34" s="10">
        <f t="shared" si="2"/>
        <v>17</v>
      </c>
      <c r="AH34" s="10">
        <f t="shared" si="2"/>
        <v>10</v>
      </c>
      <c r="AI34" s="10">
        <f t="shared" si="2"/>
        <v>10</v>
      </c>
      <c r="AJ34" s="10">
        <f t="shared" si="2"/>
        <v>19</v>
      </c>
      <c r="AK34" s="10">
        <f t="shared" si="2"/>
        <v>10</v>
      </c>
      <c r="AL34" s="10">
        <f t="shared" si="2"/>
        <v>7</v>
      </c>
      <c r="AM34" s="10">
        <f t="shared" si="2"/>
        <v>8</v>
      </c>
      <c r="AN34" s="10">
        <f t="shared" si="2"/>
        <v>6</v>
      </c>
      <c r="AO34" s="10">
        <f t="shared" si="2"/>
        <v>10</v>
      </c>
      <c r="AP34" s="10">
        <f t="shared" si="2"/>
        <v>12</v>
      </c>
      <c r="AQ34" s="10">
        <f t="shared" si="2"/>
        <v>11</v>
      </c>
      <c r="AR34" s="10">
        <f t="shared" si="2"/>
        <v>12</v>
      </c>
      <c r="AS34" s="10">
        <f t="shared" si="2"/>
        <v>7</v>
      </c>
      <c r="AT34" s="10">
        <f t="shared" si="2"/>
        <v>10</v>
      </c>
      <c r="AU34" s="10">
        <f t="shared" si="2"/>
        <v>9</v>
      </c>
      <c r="AV34" s="10">
        <f t="shared" si="2"/>
        <v>2</v>
      </c>
      <c r="AW34" s="10">
        <f t="shared" si="2"/>
        <v>9</v>
      </c>
      <c r="AX34" s="10">
        <f t="shared" si="2"/>
        <v>7</v>
      </c>
      <c r="AY34" s="10">
        <f t="shared" si="2"/>
        <v>13</v>
      </c>
      <c r="AZ34" s="10">
        <f t="shared" si="2"/>
        <v>7</v>
      </c>
      <c r="BA34" s="10">
        <f t="shared" si="2"/>
        <v>9</v>
      </c>
      <c r="BB34" s="10">
        <f t="shared" si="2"/>
        <v>13</v>
      </c>
      <c r="BC34" s="10">
        <f t="shared" si="2"/>
        <v>8</v>
      </c>
      <c r="BD34" s="10">
        <f t="shared" si="2"/>
        <v>11</v>
      </c>
      <c r="BE34" s="10">
        <f t="shared" si="2"/>
        <v>14</v>
      </c>
      <c r="BF34" s="10">
        <f t="shared" si="2"/>
        <v>14</v>
      </c>
      <c r="BG34" s="10">
        <f t="shared" si="2"/>
        <v>11</v>
      </c>
      <c r="BH34" s="10">
        <f t="shared" si="2"/>
        <v>18</v>
      </c>
      <c r="BI34" s="10">
        <f t="shared" si="2"/>
        <v>12</v>
      </c>
      <c r="BJ34" s="10">
        <f t="shared" si="2"/>
        <v>10</v>
      </c>
      <c r="BK34" s="10">
        <f t="shared" si="2"/>
        <v>10</v>
      </c>
      <c r="BL34" s="10">
        <f t="shared" si="2"/>
        <v>4</v>
      </c>
      <c r="BM34" s="10">
        <f t="shared" si="2"/>
        <v>10</v>
      </c>
      <c r="BN34" s="10">
        <f t="shared" si="2"/>
        <v>12</v>
      </c>
      <c r="BO34" s="10">
        <f t="shared" si="2"/>
        <v>21</v>
      </c>
      <c r="BP34" s="10">
        <f t="shared" si="2"/>
        <v>12</v>
      </c>
      <c r="BQ34" s="10">
        <f t="shared" si="2"/>
        <v>8</v>
      </c>
      <c r="BR34" s="10">
        <f t="shared" si="2"/>
        <v>7</v>
      </c>
      <c r="BS34" s="10">
        <f t="shared" si="2"/>
        <v>7</v>
      </c>
      <c r="BT34" s="10">
        <f t="shared" si="2"/>
        <v>9</v>
      </c>
      <c r="BU34" s="10">
        <f t="shared" si="2"/>
        <v>10</v>
      </c>
      <c r="BV34" s="10">
        <f t="shared" si="2"/>
        <v>11</v>
      </c>
      <c r="BW34" s="10">
        <f t="shared" ref="BW34:CN34" si="3">COUNTIF(BW2:BW32,"&gt;0")</f>
        <v>9</v>
      </c>
      <c r="BX34" s="10">
        <f t="shared" si="3"/>
        <v>8</v>
      </c>
      <c r="BY34" s="10">
        <f t="shared" si="3"/>
        <v>4</v>
      </c>
      <c r="BZ34" s="10">
        <f t="shared" si="3"/>
        <v>14</v>
      </c>
      <c r="CA34" s="10">
        <f t="shared" si="3"/>
        <v>6</v>
      </c>
      <c r="CB34" s="10">
        <f t="shared" si="3"/>
        <v>8</v>
      </c>
      <c r="CC34" s="10">
        <f t="shared" si="3"/>
        <v>11</v>
      </c>
      <c r="CD34" s="10">
        <f t="shared" si="3"/>
        <v>9</v>
      </c>
      <c r="CE34" s="10">
        <f t="shared" si="3"/>
        <v>9</v>
      </c>
      <c r="CF34" s="10">
        <f t="shared" si="3"/>
        <v>12</v>
      </c>
      <c r="CG34" s="10">
        <f t="shared" si="3"/>
        <v>12</v>
      </c>
      <c r="CH34" s="10">
        <f t="shared" si="3"/>
        <v>13</v>
      </c>
      <c r="CI34" s="10">
        <f t="shared" si="3"/>
        <v>9</v>
      </c>
      <c r="CJ34" s="10">
        <f t="shared" si="3"/>
        <v>13</v>
      </c>
      <c r="CK34" s="10">
        <f t="shared" si="3"/>
        <v>14</v>
      </c>
      <c r="CL34" s="10">
        <f t="shared" si="3"/>
        <v>14</v>
      </c>
      <c r="CM34" s="10">
        <f t="shared" si="3"/>
        <v>10</v>
      </c>
      <c r="CN34" s="10">
        <f t="shared" si="3"/>
        <v>10</v>
      </c>
      <c r="CO34" s="11">
        <f>AVERAGE(J34:CN34)</f>
        <v>11.012048192771084</v>
      </c>
    </row>
    <row r="35" spans="1:93" s="7" customFormat="1" x14ac:dyDescent="0.2">
      <c r="A35" s="6" t="s">
        <v>90</v>
      </c>
      <c r="B35" s="6" t="s">
        <v>90</v>
      </c>
      <c r="C35" s="6">
        <v>2.3555889962956173E-2</v>
      </c>
      <c r="D35" s="6">
        <v>25</v>
      </c>
      <c r="E35" s="6">
        <v>0.90909090909090906</v>
      </c>
      <c r="F35" s="6">
        <v>56.10526315789474</v>
      </c>
      <c r="G35" s="6">
        <v>30.036577392956076</v>
      </c>
      <c r="H35" s="6" t="s">
        <v>377</v>
      </c>
      <c r="I35" s="6" t="s">
        <v>88</v>
      </c>
      <c r="J35" s="6">
        <v>8.6073408235915603E-6</v>
      </c>
      <c r="K35" s="6">
        <v>0</v>
      </c>
      <c r="L35" s="6">
        <v>3.27997097057631E-5</v>
      </c>
      <c r="M35" s="6">
        <v>1.6669439608256301E-5</v>
      </c>
      <c r="N35" s="6">
        <v>0</v>
      </c>
      <c r="O35" s="6">
        <v>0</v>
      </c>
      <c r="P35" s="6">
        <v>2.22546106195605E-5</v>
      </c>
      <c r="Q35" s="6">
        <v>0</v>
      </c>
      <c r="R35" s="6">
        <v>9.3068775507418195E-5</v>
      </c>
      <c r="S35" s="6">
        <v>5.2007143411187099E-5</v>
      </c>
      <c r="T35" s="6">
        <v>0</v>
      </c>
      <c r="U35" s="6">
        <v>2.0481558487612499E-5</v>
      </c>
      <c r="V35" s="6">
        <v>0</v>
      </c>
      <c r="W35" s="6">
        <v>1.9370239923186799E-5</v>
      </c>
      <c r="X35" s="6">
        <v>1.6475287426587099E-5</v>
      </c>
      <c r="Y35" s="6">
        <v>0</v>
      </c>
      <c r="Z35" s="6">
        <v>0</v>
      </c>
      <c r="AA35" s="6">
        <v>1.04906162332732E-5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1.69552422815659E-5</v>
      </c>
      <c r="AI35" s="6">
        <v>0</v>
      </c>
      <c r="AJ35" s="6">
        <v>0</v>
      </c>
      <c r="AK35" s="6">
        <v>3.3835063820748298E-5</v>
      </c>
      <c r="AL35" s="6">
        <v>2.6281369972224499E-5</v>
      </c>
      <c r="AM35" s="6">
        <v>1.6166611429044701E-5</v>
      </c>
      <c r="AN35" s="6">
        <v>1.2373996817879399E-5</v>
      </c>
      <c r="AO35" s="6">
        <v>1.04208465300588E-5</v>
      </c>
      <c r="AP35" s="6">
        <v>0</v>
      </c>
      <c r="AQ35" s="6">
        <v>4.3754326173917501E-5</v>
      </c>
      <c r="AR35" s="6">
        <v>0</v>
      </c>
      <c r="AS35" s="6">
        <v>0</v>
      </c>
      <c r="AT35" s="6">
        <v>0</v>
      </c>
      <c r="AU35" s="6">
        <v>2.53378056133689E-5</v>
      </c>
      <c r="AV35" s="6">
        <v>0</v>
      </c>
      <c r="AW35" s="6">
        <v>2.2347039672824699E-5</v>
      </c>
      <c r="AX35" s="6">
        <v>4.6439442773306897E-5</v>
      </c>
      <c r="AY35" s="6">
        <v>0</v>
      </c>
      <c r="AZ35" s="6">
        <v>0</v>
      </c>
      <c r="BA35" s="6">
        <v>7.4950752933074201E-6</v>
      </c>
      <c r="BB35" s="6">
        <v>1.08443368674372E-4</v>
      </c>
      <c r="BC35" s="6">
        <v>0</v>
      </c>
      <c r="BD35" s="6">
        <v>0</v>
      </c>
      <c r="BE35" s="6">
        <v>3.8921717845302198E-5</v>
      </c>
      <c r="BF35" s="6">
        <v>1.3864684775502799E-4</v>
      </c>
      <c r="BG35" s="6">
        <v>1.10934594441185E-4</v>
      </c>
      <c r="BH35" s="6">
        <v>6.8563029672040203E-5</v>
      </c>
      <c r="BI35" s="6">
        <v>1.8824133752352399E-5</v>
      </c>
      <c r="BJ35" s="6">
        <v>0</v>
      </c>
      <c r="BK35" s="6">
        <v>1.18238251832662E-5</v>
      </c>
      <c r="BL35" s="6">
        <v>0</v>
      </c>
      <c r="BM35" s="6">
        <v>0</v>
      </c>
      <c r="BN35" s="6">
        <v>3.6950983311543901E-5</v>
      </c>
      <c r="BO35" s="6">
        <v>1.1685034527384599E-4</v>
      </c>
      <c r="BP35" s="6">
        <v>0</v>
      </c>
      <c r="BQ35" s="6">
        <v>3.0721894964022697E-5</v>
      </c>
      <c r="BR35" s="6">
        <v>3.8797433731621197E-5</v>
      </c>
      <c r="BS35" s="6">
        <v>1.09227501601748E-4</v>
      </c>
      <c r="BT35" s="6">
        <v>0</v>
      </c>
      <c r="BU35" s="6">
        <v>1.8688954211756899E-4</v>
      </c>
      <c r="BV35" s="6">
        <v>1.52592082466678E-4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7.1022016681202899E-5</v>
      </c>
      <c r="CD35" s="6">
        <v>0</v>
      </c>
      <c r="CE35" s="6">
        <v>5.0997513312486497E-5</v>
      </c>
      <c r="CF35" s="6">
        <v>1.5412638775083502E-5</v>
      </c>
      <c r="CG35" s="6">
        <v>1.1713724352788599E-4</v>
      </c>
      <c r="CH35" s="6">
        <v>0</v>
      </c>
      <c r="CI35" s="6">
        <v>1.31547924383101E-5</v>
      </c>
      <c r="CJ35" s="6">
        <v>2.6058475225618999E-5</v>
      </c>
      <c r="CK35" s="6">
        <v>1.41883861602857E-4</v>
      </c>
      <c r="CL35" s="6">
        <v>1.6381625752235401E-4</v>
      </c>
      <c r="CM35" s="6">
        <v>0</v>
      </c>
      <c r="CN35" s="6">
        <v>0</v>
      </c>
    </row>
    <row r="36" spans="1:93" s="7" customFormat="1" x14ac:dyDescent="0.2">
      <c r="A36" s="6" t="s">
        <v>91</v>
      </c>
      <c r="B36" s="6" t="s">
        <v>378</v>
      </c>
      <c r="C36" s="6">
        <v>6.9884448903262938E-2</v>
      </c>
      <c r="D36" s="6">
        <v>31</v>
      </c>
      <c r="E36" s="6">
        <v>0.5625</v>
      </c>
      <c r="F36" s="6">
        <v>56.10526315789474</v>
      </c>
      <c r="G36" s="6">
        <v>68.370439099062651</v>
      </c>
      <c r="H36" s="6" t="s">
        <v>377</v>
      </c>
      <c r="I36" s="6" t="s">
        <v>88</v>
      </c>
      <c r="J36" s="6">
        <v>0</v>
      </c>
      <c r="K36" s="6">
        <v>0</v>
      </c>
      <c r="L36" s="6">
        <v>1.6164378083413501E-5</v>
      </c>
      <c r="M36" s="6">
        <v>1.39205373530919E-4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2.1870262714947801E-5</v>
      </c>
      <c r="W36" s="6">
        <v>0</v>
      </c>
      <c r="X36" s="6">
        <v>3.3538605412200003E-5</v>
      </c>
      <c r="Y36" s="6">
        <v>0</v>
      </c>
      <c r="Z36" s="6">
        <v>0</v>
      </c>
      <c r="AA36" s="6">
        <v>1.39652591753571E-5</v>
      </c>
      <c r="AB36" s="6">
        <v>0</v>
      </c>
      <c r="AC36" s="6">
        <v>0</v>
      </c>
      <c r="AD36" s="6">
        <v>0</v>
      </c>
      <c r="AE36" s="6">
        <v>0</v>
      </c>
      <c r="AF36" s="6">
        <v>6.4695637993384796E-5</v>
      </c>
      <c r="AG36" s="6">
        <v>4.7822689857676501E-5</v>
      </c>
      <c r="AH36" s="6">
        <v>0</v>
      </c>
      <c r="AI36" s="6">
        <v>0</v>
      </c>
      <c r="AJ36" s="6">
        <v>0</v>
      </c>
      <c r="AK36" s="6">
        <v>8.0047541873333802E-6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</row>
    <row r="37" spans="1:93" s="7" customFormat="1" x14ac:dyDescent="0.2">
      <c r="A37" s="6" t="s">
        <v>101</v>
      </c>
      <c r="B37" s="6" t="s">
        <v>101</v>
      </c>
      <c r="C37" s="6">
        <v>0.24425534917418848</v>
      </c>
      <c r="D37" s="6">
        <v>5</v>
      </c>
      <c r="E37" s="6">
        <v>0.8571428571428571</v>
      </c>
      <c r="F37" s="6">
        <v>56.10526315789474</v>
      </c>
      <c r="G37" s="6">
        <v>58.731474184891333</v>
      </c>
      <c r="H37" s="6" t="s">
        <v>377</v>
      </c>
      <c r="I37" s="6" t="s">
        <v>88</v>
      </c>
      <c r="J37" s="6">
        <v>0</v>
      </c>
      <c r="K37" s="6">
        <v>2.9429033543558301E-5</v>
      </c>
      <c r="L37" s="6">
        <v>1.09621565520731E-5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1.80031707273902E-4</v>
      </c>
      <c r="T37" s="6">
        <v>0</v>
      </c>
      <c r="U37" s="6">
        <v>7.6110399230251696E-5</v>
      </c>
      <c r="V37" s="6">
        <v>0</v>
      </c>
      <c r="W37" s="6">
        <v>0</v>
      </c>
      <c r="X37" s="6">
        <v>0</v>
      </c>
      <c r="Y37" s="6">
        <v>5.62107008207428E-5</v>
      </c>
      <c r="Z37" s="6">
        <v>0</v>
      </c>
      <c r="AA37" s="6">
        <v>4.5293512352743397E-5</v>
      </c>
      <c r="AB37" s="6">
        <v>1.9880074153467E-5</v>
      </c>
      <c r="AC37" s="6">
        <v>0</v>
      </c>
      <c r="AD37" s="6">
        <v>0</v>
      </c>
      <c r="AE37" s="6">
        <v>3.6675580789667699E-5</v>
      </c>
      <c r="AF37" s="6">
        <v>0</v>
      </c>
      <c r="AG37" s="6">
        <v>1.2457847205968E-4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3.31211951850407E-5</v>
      </c>
      <c r="AP37" s="6">
        <v>0</v>
      </c>
      <c r="AQ37" s="6">
        <v>0</v>
      </c>
      <c r="AR37" s="6">
        <v>0</v>
      </c>
      <c r="AS37" s="6">
        <v>2.2116530569646201E-5</v>
      </c>
      <c r="AT37" s="6">
        <v>0</v>
      </c>
      <c r="AU37" s="6">
        <v>2.28104051960363E-5</v>
      </c>
      <c r="AV37" s="6">
        <v>0</v>
      </c>
      <c r="AW37" s="6">
        <v>0</v>
      </c>
      <c r="AX37" s="6">
        <v>0</v>
      </c>
      <c r="AY37" s="6">
        <v>4.4021719276401702E-5</v>
      </c>
      <c r="AZ37" s="6">
        <v>3.26220312939952E-4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1.1908745112891501E-5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1.08294649494256E-5</v>
      </c>
      <c r="BM37" s="6">
        <v>0</v>
      </c>
      <c r="BN37" s="6">
        <v>2.5782201601163499E-5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2.3674073957040599E-5</v>
      </c>
      <c r="BW37" s="6">
        <v>0</v>
      </c>
      <c r="BX37" s="6">
        <v>0</v>
      </c>
      <c r="BY37" s="6">
        <v>1.3247929246465199E-3</v>
      </c>
      <c r="BZ37" s="6">
        <v>0</v>
      </c>
      <c r="CA37" s="6">
        <v>1.4617462891746899E-4</v>
      </c>
      <c r="CB37" s="6">
        <v>0</v>
      </c>
      <c r="CC37" s="6">
        <v>1.2775708674742399E-5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1.1182193418933201E-5</v>
      </c>
      <c r="CL37" s="6">
        <v>0</v>
      </c>
      <c r="CM37" s="6">
        <v>0</v>
      </c>
      <c r="CN37" s="6">
        <v>0</v>
      </c>
    </row>
    <row r="38" spans="1:93" s="7" customFormat="1" x14ac:dyDescent="0.2">
      <c r="A38" s="6" t="s">
        <v>106</v>
      </c>
      <c r="B38" s="6" t="s">
        <v>106</v>
      </c>
      <c r="C38" s="6">
        <v>0.14433908748133392</v>
      </c>
      <c r="D38" s="6">
        <v>53</v>
      </c>
      <c r="E38" s="6">
        <v>0.78985507246376807</v>
      </c>
      <c r="F38" s="6">
        <v>56.10526315789474</v>
      </c>
      <c r="G38" s="6">
        <v>339.00869730462398</v>
      </c>
      <c r="H38" s="6" t="s">
        <v>377</v>
      </c>
      <c r="I38" s="6" t="s">
        <v>88</v>
      </c>
      <c r="J38" s="6">
        <v>1.1649653280819199E-4</v>
      </c>
      <c r="K38" s="6">
        <v>1.0457503051985401E-3</v>
      </c>
      <c r="L38" s="6">
        <v>5.3663500681559099E-4</v>
      </c>
      <c r="M38" s="6">
        <v>2.22480524648165E-3</v>
      </c>
      <c r="N38" s="6">
        <v>3.6656247147509699E-4</v>
      </c>
      <c r="O38" s="6">
        <v>2.6029810115978802E-4</v>
      </c>
      <c r="P38" s="6">
        <v>0</v>
      </c>
      <c r="Q38" s="6">
        <v>0</v>
      </c>
      <c r="R38" s="6">
        <v>0</v>
      </c>
      <c r="S38" s="6">
        <v>0</v>
      </c>
      <c r="T38" s="6">
        <v>1.11778428616026E-4</v>
      </c>
      <c r="U38" s="6">
        <v>5.8682958409538897E-5</v>
      </c>
      <c r="V38" s="6">
        <v>1.7119812347158501E-3</v>
      </c>
      <c r="W38" s="6">
        <v>7.7036581018073604E-5</v>
      </c>
      <c r="X38" s="6">
        <v>2.80712013933824E-4</v>
      </c>
      <c r="Y38" s="6">
        <v>0</v>
      </c>
      <c r="Z38" s="6">
        <v>5.2818005808482596E-4</v>
      </c>
      <c r="AA38" s="6">
        <v>1.6758957514982401E-3</v>
      </c>
      <c r="AB38" s="6">
        <v>4.6279536420689002E-4</v>
      </c>
      <c r="AC38" s="6">
        <v>3.7932983314979797E-5</v>
      </c>
      <c r="AD38" s="6">
        <v>1.9610153809084599E-5</v>
      </c>
      <c r="AE38" s="6">
        <v>5.7638411067191997E-5</v>
      </c>
      <c r="AF38" s="6">
        <v>1.7937338339049E-3</v>
      </c>
      <c r="AG38" s="6">
        <v>7.2519032266530302E-4</v>
      </c>
      <c r="AH38" s="6">
        <v>0</v>
      </c>
      <c r="AI38" s="6">
        <v>0</v>
      </c>
      <c r="AJ38" s="6">
        <v>1.81911435089903E-3</v>
      </c>
      <c r="AK38" s="6">
        <v>0</v>
      </c>
      <c r="AL38" s="6">
        <v>0</v>
      </c>
      <c r="AM38" s="6">
        <v>0</v>
      </c>
      <c r="AN38" s="6">
        <v>5.2273309886403897E-5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5.5032722736076801E-5</v>
      </c>
      <c r="AV38" s="6">
        <v>0</v>
      </c>
      <c r="AW38" s="6">
        <v>8.3762764050641307E-5</v>
      </c>
      <c r="AX38" s="6">
        <v>0</v>
      </c>
      <c r="AY38" s="6">
        <v>3.7964265330534602E-3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1.58705873598021E-4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4.6675824689556197E-5</v>
      </c>
      <c r="BO38" s="6">
        <v>7.1564559101536902E-4</v>
      </c>
      <c r="BP38" s="6">
        <v>3.9798252218489103E-5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1.7041860265767301E-4</v>
      </c>
      <c r="CA38" s="6">
        <v>0</v>
      </c>
      <c r="CB38" s="6">
        <v>0</v>
      </c>
      <c r="CC38" s="6">
        <v>4.9973987058325697E-5</v>
      </c>
      <c r="CD38" s="6">
        <v>0</v>
      </c>
      <c r="CE38" s="6">
        <v>0</v>
      </c>
      <c r="CF38" s="6">
        <v>2.4409899986100699E-5</v>
      </c>
      <c r="CG38" s="6">
        <v>0</v>
      </c>
      <c r="CH38" s="6">
        <v>0</v>
      </c>
      <c r="CI38" s="6">
        <v>3.88432893526004E-5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</row>
    <row r="39" spans="1:93" s="7" customFormat="1" x14ac:dyDescent="0.2">
      <c r="A39" s="6" t="s">
        <v>108</v>
      </c>
      <c r="B39" s="6" t="s">
        <v>108</v>
      </c>
      <c r="C39" s="6">
        <v>0.11847295385117718</v>
      </c>
      <c r="D39" s="6">
        <v>40</v>
      </c>
      <c r="E39" s="6">
        <v>0.73333333333333328</v>
      </c>
      <c r="F39" s="6">
        <v>56.10526315789474</v>
      </c>
      <c r="G39" s="6">
        <v>194.97738341879349</v>
      </c>
      <c r="H39" s="6" t="s">
        <v>377</v>
      </c>
      <c r="I39" s="6" t="s">
        <v>88</v>
      </c>
      <c r="J39" s="6">
        <v>1.2172702275214799E-4</v>
      </c>
      <c r="K39" s="6">
        <v>3.7001727461584899E-4</v>
      </c>
      <c r="L39" s="6">
        <v>2.60310687993175E-4</v>
      </c>
      <c r="M39" s="6">
        <v>0</v>
      </c>
      <c r="N39" s="6">
        <v>4.8799682903443098E-4</v>
      </c>
      <c r="O39" s="6">
        <v>5.3836150681689304E-4</v>
      </c>
      <c r="P39" s="6">
        <v>3.31391984675699E-4</v>
      </c>
      <c r="Q39" s="6">
        <v>7.9408501385778106E-5</v>
      </c>
      <c r="R39" s="6">
        <v>6.3131484263256003E-5</v>
      </c>
      <c r="S39" s="6">
        <v>0</v>
      </c>
      <c r="T39" s="6">
        <v>0</v>
      </c>
      <c r="U39" s="6">
        <v>1.6564601790629801E-4</v>
      </c>
      <c r="V39" s="6">
        <v>0</v>
      </c>
      <c r="W39" s="6">
        <v>0</v>
      </c>
      <c r="X39" s="6">
        <v>0</v>
      </c>
      <c r="Y39" s="6">
        <v>3.5322871384913201E-4</v>
      </c>
      <c r="Z39" s="6">
        <v>7.6012147076278595E-5</v>
      </c>
      <c r="AA39" s="6">
        <v>4.2191503325041699E-4</v>
      </c>
      <c r="AB39" s="6">
        <v>2.1867946363141001E-4</v>
      </c>
      <c r="AC39" s="6">
        <v>4.6050356855471098E-5</v>
      </c>
      <c r="AD39" s="6">
        <v>7.5152771288338401E-5</v>
      </c>
      <c r="AE39" s="6">
        <v>0</v>
      </c>
      <c r="AF39" s="6">
        <v>4.1467132076211698E-4</v>
      </c>
      <c r="AG39" s="6">
        <v>2.1238947920641701E-4</v>
      </c>
      <c r="AH39" s="6">
        <v>2.1821771305021099E-4</v>
      </c>
      <c r="AI39" s="6">
        <v>2.4506652917347701E-4</v>
      </c>
      <c r="AJ39" s="6">
        <v>0</v>
      </c>
      <c r="AK39" s="6">
        <v>3.5029101680420698E-4</v>
      </c>
      <c r="AL39" s="6">
        <v>4.2064719765667101E-5</v>
      </c>
      <c r="AM39" s="6">
        <v>1.7504914747353901E-4</v>
      </c>
      <c r="AN39" s="6">
        <v>0</v>
      </c>
      <c r="AO39" s="6">
        <v>9.3162685718694405E-5</v>
      </c>
      <c r="AP39" s="6">
        <v>1.0945862794636301E-4</v>
      </c>
      <c r="AQ39" s="6">
        <v>1.3534150452106401E-4</v>
      </c>
      <c r="AR39" s="6">
        <v>1.00367706451323E-4</v>
      </c>
      <c r="AS39" s="6">
        <v>2.8083808307773501E-4</v>
      </c>
      <c r="AT39" s="6">
        <v>1.97927892318748E-5</v>
      </c>
      <c r="AU39" s="6">
        <v>7.2180352724474699E-5</v>
      </c>
      <c r="AV39" s="6">
        <v>0</v>
      </c>
      <c r="AW39" s="6">
        <v>0</v>
      </c>
      <c r="AX39" s="6">
        <v>0</v>
      </c>
      <c r="AY39" s="6">
        <v>2.3934314862802399E-4</v>
      </c>
      <c r="AZ39" s="6">
        <v>1.3654443350770399E-4</v>
      </c>
      <c r="BA39" s="6">
        <v>1.13609330356169E-4</v>
      </c>
      <c r="BB39" s="6">
        <v>3.3968940396397301E-4</v>
      </c>
      <c r="BC39" s="6">
        <v>8.6441441384748597E-5</v>
      </c>
      <c r="BD39" s="6">
        <v>0</v>
      </c>
      <c r="BE39" s="6">
        <v>1.3916979900111101E-4</v>
      </c>
      <c r="BF39" s="6">
        <v>4.7375739277205598E-4</v>
      </c>
      <c r="BG39" s="6">
        <v>8.7395485640058399E-5</v>
      </c>
      <c r="BH39" s="6">
        <v>2.52922811032531E-4</v>
      </c>
      <c r="BI39" s="6">
        <v>7.6982852628183594E-5</v>
      </c>
      <c r="BJ39" s="6">
        <v>0</v>
      </c>
      <c r="BK39" s="6">
        <v>0</v>
      </c>
      <c r="BL39" s="6">
        <v>0</v>
      </c>
      <c r="BM39" s="6">
        <v>2.4433630391455102E-4</v>
      </c>
      <c r="BN39" s="6">
        <v>2.92704230900888E-4</v>
      </c>
      <c r="BO39" s="6">
        <v>0</v>
      </c>
      <c r="BP39" s="6">
        <v>1.6503839824245399E-4</v>
      </c>
      <c r="BQ39" s="6">
        <v>1.9461799767051601E-4</v>
      </c>
      <c r="BR39" s="6">
        <v>2.3247807454060499E-4</v>
      </c>
      <c r="BS39" s="6">
        <v>0</v>
      </c>
      <c r="BT39" s="6">
        <v>2.27787034149751E-4</v>
      </c>
      <c r="BU39" s="6">
        <v>0</v>
      </c>
      <c r="BV39" s="6">
        <v>2.12386544957593E-4</v>
      </c>
      <c r="BW39" s="6">
        <v>0</v>
      </c>
      <c r="BX39" s="6">
        <v>7.7487562561827998E-5</v>
      </c>
      <c r="BY39" s="6">
        <v>0</v>
      </c>
      <c r="BZ39" s="6">
        <v>8.9723663930230693E-5</v>
      </c>
      <c r="CA39" s="6">
        <v>2.4347422942321301E-5</v>
      </c>
      <c r="CB39" s="6">
        <v>1.16522286999809E-4</v>
      </c>
      <c r="CC39" s="6">
        <v>1.9404345555309999E-4</v>
      </c>
      <c r="CD39" s="6">
        <v>5.7693780778653697E-5</v>
      </c>
      <c r="CE39" s="6">
        <v>3.1142322657347598E-4</v>
      </c>
      <c r="CF39" s="6">
        <v>0</v>
      </c>
      <c r="CG39" s="6">
        <v>2.9552824858515098E-4</v>
      </c>
      <c r="CH39" s="6">
        <v>1.3432999543781601E-4</v>
      </c>
      <c r="CI39" s="6">
        <v>1.2868946636541899E-4</v>
      </c>
      <c r="CJ39" s="6">
        <v>0</v>
      </c>
      <c r="CK39" s="6">
        <v>2.9278714173829599E-4</v>
      </c>
      <c r="CL39" s="6">
        <v>4.0078734492971201E-4</v>
      </c>
      <c r="CM39" s="6">
        <v>0</v>
      </c>
      <c r="CN39" s="6">
        <v>0</v>
      </c>
    </row>
    <row r="40" spans="1:93" s="7" customFormat="1" x14ac:dyDescent="0.2">
      <c r="A40" s="6" t="s">
        <v>110</v>
      </c>
      <c r="B40" s="6" t="s">
        <v>110</v>
      </c>
      <c r="C40" s="6">
        <v>3.7521276898098477E-2</v>
      </c>
      <c r="D40" s="6">
        <v>155</v>
      </c>
      <c r="E40" s="6">
        <v>0.89578713968957868</v>
      </c>
      <c r="F40" s="6">
        <v>56.10526315789474</v>
      </c>
      <c r="G40" s="6">
        <v>292.2925423125937</v>
      </c>
      <c r="H40" s="6" t="s">
        <v>377</v>
      </c>
      <c r="I40" s="6" t="s">
        <v>88</v>
      </c>
      <c r="J40" s="6">
        <v>8.6075390172200502E-4</v>
      </c>
      <c r="K40" s="6">
        <v>1.70960586871664E-3</v>
      </c>
      <c r="L40" s="6">
        <v>2.64038951805562E-3</v>
      </c>
      <c r="M40" s="6">
        <v>6.2674517611773497E-3</v>
      </c>
      <c r="N40" s="6">
        <v>1.2407577598260401E-3</v>
      </c>
      <c r="O40" s="6">
        <v>4.5504463669846803E-4</v>
      </c>
      <c r="P40" s="6">
        <v>2.69587654355745E-5</v>
      </c>
      <c r="Q40" s="6">
        <v>0</v>
      </c>
      <c r="R40" s="6">
        <v>4.6786224454944298E-5</v>
      </c>
      <c r="S40" s="6">
        <v>0</v>
      </c>
      <c r="T40" s="6">
        <v>0</v>
      </c>
      <c r="U40" s="6">
        <v>1.0851530614844E-4</v>
      </c>
      <c r="V40" s="6">
        <v>4.9322150039649302E-3</v>
      </c>
      <c r="W40" s="6">
        <v>1.77407101340026E-4</v>
      </c>
      <c r="X40" s="6">
        <v>7.0956142951958401E-4</v>
      </c>
      <c r="Y40" s="6">
        <v>1.03643005877127E-3</v>
      </c>
      <c r="Z40" s="6">
        <v>5.8683634025954404E-4</v>
      </c>
      <c r="AA40" s="6">
        <v>4.4446544258373803E-3</v>
      </c>
      <c r="AB40" s="6">
        <v>9.1103067458240996E-4</v>
      </c>
      <c r="AC40" s="6">
        <v>0</v>
      </c>
      <c r="AD40" s="6">
        <v>0</v>
      </c>
      <c r="AE40" s="6">
        <v>3.42098366138542E-4</v>
      </c>
      <c r="AF40" s="6">
        <v>4.0329979383654799E-3</v>
      </c>
      <c r="AG40" s="6">
        <v>2.7110092537352601E-3</v>
      </c>
      <c r="AH40" s="6">
        <v>0</v>
      </c>
      <c r="AI40" s="6">
        <v>1.8738119315287101E-5</v>
      </c>
      <c r="AJ40" s="6">
        <v>5.1369223387070801E-3</v>
      </c>
      <c r="AK40" s="6">
        <v>0</v>
      </c>
      <c r="AL40" s="6">
        <v>4.8097665756705099E-5</v>
      </c>
      <c r="AM40" s="6">
        <v>0</v>
      </c>
      <c r="AN40" s="6">
        <v>0</v>
      </c>
      <c r="AO40" s="6">
        <v>0</v>
      </c>
      <c r="AP40" s="6">
        <v>1.5263354813765801E-5</v>
      </c>
      <c r="AQ40" s="6">
        <v>0</v>
      </c>
      <c r="AR40" s="6">
        <v>0</v>
      </c>
      <c r="AS40" s="6">
        <v>0</v>
      </c>
      <c r="AT40" s="6">
        <v>1.58181613076795E-4</v>
      </c>
      <c r="AU40" s="6">
        <v>1.3882414263802499E-4</v>
      </c>
      <c r="AV40" s="6">
        <v>0</v>
      </c>
      <c r="AW40" s="6">
        <v>0</v>
      </c>
      <c r="AX40" s="6">
        <v>0</v>
      </c>
      <c r="AY40" s="6">
        <v>1.46391209841009E-2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5.1513255856099104E-4</v>
      </c>
      <c r="BI40" s="6">
        <v>1.09676605363788E-4</v>
      </c>
      <c r="BJ40" s="6">
        <v>0</v>
      </c>
      <c r="BK40" s="6">
        <v>2.26669454783657E-4</v>
      </c>
      <c r="BL40" s="6">
        <v>2.4123926688498299E-5</v>
      </c>
      <c r="BM40" s="6">
        <v>0</v>
      </c>
      <c r="BN40" s="6">
        <v>0</v>
      </c>
      <c r="BO40" s="6">
        <v>2.09263748266845E-3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2.73565924189877E-4</v>
      </c>
      <c r="CA40" s="6">
        <v>0</v>
      </c>
      <c r="CB40" s="6">
        <v>0</v>
      </c>
      <c r="CC40" s="6">
        <v>2.1196931678149399E-5</v>
      </c>
      <c r="CD40" s="6">
        <v>0</v>
      </c>
      <c r="CE40" s="6">
        <v>1.30791042067995E-4</v>
      </c>
      <c r="CF40" s="6">
        <v>1.9477266204703499E-4</v>
      </c>
      <c r="CG40" s="6">
        <v>0</v>
      </c>
      <c r="CH40" s="6">
        <v>0</v>
      </c>
      <c r="CI40" s="6">
        <v>3.8380797983134E-5</v>
      </c>
      <c r="CJ40" s="6">
        <v>9.5016931259874106E-5</v>
      </c>
      <c r="CK40" s="6">
        <v>0</v>
      </c>
      <c r="CL40" s="6">
        <v>0</v>
      </c>
      <c r="CM40" s="6">
        <v>0</v>
      </c>
      <c r="CN40" s="6">
        <v>0</v>
      </c>
    </row>
    <row r="41" spans="1:93" s="7" customFormat="1" x14ac:dyDescent="0.2">
      <c r="A41" s="6" t="s">
        <v>130</v>
      </c>
      <c r="B41" s="6" t="s">
        <v>130</v>
      </c>
      <c r="C41" s="6">
        <v>9.3828847827900248E-3</v>
      </c>
      <c r="D41" s="6">
        <v>15</v>
      </c>
      <c r="E41" s="6">
        <v>0.98896247240618107</v>
      </c>
      <c r="F41" s="6">
        <v>3335.0586069473684</v>
      </c>
      <c r="G41" s="6">
        <v>464.20618716794814</v>
      </c>
      <c r="H41" s="6" t="s">
        <v>377</v>
      </c>
      <c r="I41" s="6" t="s">
        <v>254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</row>
    <row r="42" spans="1:93" s="7" customFormat="1" x14ac:dyDescent="0.2">
      <c r="A42" s="6" t="s">
        <v>141</v>
      </c>
      <c r="B42" s="6" t="s">
        <v>141</v>
      </c>
      <c r="C42" s="6">
        <v>0.41115000489106285</v>
      </c>
      <c r="D42" s="6">
        <v>8</v>
      </c>
      <c r="E42" s="6">
        <v>0.39285714285714285</v>
      </c>
      <c r="F42" s="6">
        <v>56.10526315789474</v>
      </c>
      <c r="G42" s="6">
        <v>72.49842041131734</v>
      </c>
      <c r="H42" s="6" t="s">
        <v>377</v>
      </c>
      <c r="I42" s="6" t="s">
        <v>88</v>
      </c>
      <c r="J42" s="6">
        <v>2.5222957028735002E-3</v>
      </c>
      <c r="K42" s="6">
        <v>2.46856746034469E-3</v>
      </c>
      <c r="L42" s="6">
        <v>4.7698750218744699E-3</v>
      </c>
      <c r="M42" s="6">
        <v>1.6915506251798699E-3</v>
      </c>
      <c r="N42" s="6">
        <v>1.8399922763685801E-3</v>
      </c>
      <c r="O42" s="6">
        <v>1.1667988703967301E-3</v>
      </c>
      <c r="P42" s="6">
        <v>7.0463141226589504E-3</v>
      </c>
      <c r="Q42" s="6">
        <v>2.10244672599836E-3</v>
      </c>
      <c r="R42" s="6">
        <v>2.0362964306360701E-3</v>
      </c>
      <c r="S42" s="6">
        <v>9.9893677131561703E-4</v>
      </c>
      <c r="T42" s="6">
        <v>1.35194492547198E-3</v>
      </c>
      <c r="U42" s="6">
        <v>2.4617729764027101E-3</v>
      </c>
      <c r="V42" s="6">
        <v>1.47248540895072E-3</v>
      </c>
      <c r="W42" s="6">
        <v>2.3911619981220001E-3</v>
      </c>
      <c r="X42" s="6">
        <v>1.8080148783070501E-3</v>
      </c>
      <c r="Y42" s="6">
        <v>1.6725303219342E-3</v>
      </c>
      <c r="Z42" s="6">
        <v>5.0908230286489603E-3</v>
      </c>
      <c r="AA42" s="6">
        <v>1.6133626550900099E-3</v>
      </c>
      <c r="AB42" s="6">
        <v>1.1288623795770801E-3</v>
      </c>
      <c r="AC42" s="6">
        <v>1.4592241212050099E-4</v>
      </c>
      <c r="AD42" s="6">
        <v>3.8923689547722602E-3</v>
      </c>
      <c r="AE42" s="6">
        <v>8.6962897200973995E-4</v>
      </c>
      <c r="AF42" s="6">
        <v>6.2372190979354302E-3</v>
      </c>
      <c r="AG42" s="6">
        <v>7.5032773510040997E-4</v>
      </c>
      <c r="AH42" s="6">
        <v>7.8545625036354205E-3</v>
      </c>
      <c r="AI42" s="6">
        <v>2.56153916224305E-3</v>
      </c>
      <c r="AJ42" s="6">
        <v>4.7673386135275598E-3</v>
      </c>
      <c r="AK42" s="6">
        <v>2.9325808887204702E-3</v>
      </c>
      <c r="AL42" s="6">
        <v>4.1242216715282696E-3</v>
      </c>
      <c r="AM42" s="6">
        <v>2.0495050841686699E-3</v>
      </c>
      <c r="AN42" s="6">
        <v>4.00465400713481E-3</v>
      </c>
      <c r="AO42" s="6">
        <v>1.65895268620198E-3</v>
      </c>
      <c r="AP42" s="6">
        <v>3.5405114236547498E-3</v>
      </c>
      <c r="AQ42" s="6">
        <v>2.08571036795343E-3</v>
      </c>
      <c r="AR42" s="6">
        <v>4.4739177951310096E-3</v>
      </c>
      <c r="AS42" s="6">
        <v>1.90399586118088E-3</v>
      </c>
      <c r="AT42" s="6">
        <v>1.48555248445031E-3</v>
      </c>
      <c r="AU42" s="6">
        <v>1.0078014990275201E-3</v>
      </c>
      <c r="AV42" s="6">
        <v>3.1321965004757302E-3</v>
      </c>
      <c r="AW42" s="6">
        <v>1.57453021826706E-3</v>
      </c>
      <c r="AX42" s="6">
        <v>5.4047299612843599E-3</v>
      </c>
      <c r="AY42" s="6">
        <v>8.6205107943402497E-4</v>
      </c>
      <c r="AZ42" s="6">
        <v>3.5817642714446002E-3</v>
      </c>
      <c r="BA42" s="6">
        <v>2.4490519635176999E-3</v>
      </c>
      <c r="BB42" s="6">
        <v>3.2918951949707101E-3</v>
      </c>
      <c r="BC42" s="6">
        <v>4.6777606907635102E-3</v>
      </c>
      <c r="BD42" s="6">
        <v>5.9427163284606404E-3</v>
      </c>
      <c r="BE42" s="6">
        <v>6.3651405816157001E-3</v>
      </c>
      <c r="BF42" s="6">
        <v>8.8605973201034104E-3</v>
      </c>
      <c r="BG42" s="6">
        <v>5.3055571866965799E-3</v>
      </c>
      <c r="BH42" s="6">
        <v>4.1398060986912602E-3</v>
      </c>
      <c r="BI42" s="6">
        <v>2.41738041921324E-2</v>
      </c>
      <c r="BJ42" s="6">
        <v>2.4853353670284302E-3</v>
      </c>
      <c r="BK42" s="6">
        <v>6.9553501761662499E-3</v>
      </c>
      <c r="BL42" s="6">
        <v>0</v>
      </c>
      <c r="BM42" s="6">
        <v>0</v>
      </c>
      <c r="BN42" s="6">
        <v>5.4855224905822099E-3</v>
      </c>
      <c r="BO42" s="6">
        <v>4.0739059624009004E-3</v>
      </c>
      <c r="BP42" s="6">
        <v>3.2451143134184699E-3</v>
      </c>
      <c r="BQ42" s="6">
        <v>4.3646356939695402E-3</v>
      </c>
      <c r="BR42" s="6">
        <v>4.1824908544965799E-3</v>
      </c>
      <c r="BS42" s="6">
        <v>4.1193813647312201E-3</v>
      </c>
      <c r="BT42" s="6">
        <v>4.3777403563201303E-3</v>
      </c>
      <c r="BU42" s="6">
        <v>0</v>
      </c>
      <c r="BV42" s="6">
        <v>4.5400747149620798E-3</v>
      </c>
      <c r="BW42" s="6">
        <v>8.8816775085127104E-3</v>
      </c>
      <c r="BX42" s="6">
        <v>1.2493237611743201E-3</v>
      </c>
      <c r="BY42" s="6">
        <v>1.19484067906781E-3</v>
      </c>
      <c r="BZ42" s="6">
        <v>1.16432708421359E-3</v>
      </c>
      <c r="CA42" s="6">
        <v>1.0255905251676501E-3</v>
      </c>
      <c r="CB42" s="6">
        <v>4.3060294921887302E-3</v>
      </c>
      <c r="CC42" s="6">
        <v>4.0432072190596403E-3</v>
      </c>
      <c r="CD42" s="6">
        <v>0</v>
      </c>
      <c r="CE42" s="6">
        <v>2.75396869992715E-3</v>
      </c>
      <c r="CF42" s="6">
        <v>4.05251844301856E-3</v>
      </c>
      <c r="CG42" s="6">
        <v>2.2861093506049801E-3</v>
      </c>
      <c r="CH42" s="6">
        <v>7.1362983752082899E-3</v>
      </c>
      <c r="CI42" s="6">
        <v>3.40120649702676E-3</v>
      </c>
      <c r="CJ42" s="6">
        <v>6.6079690470293101E-3</v>
      </c>
      <c r="CK42" s="6">
        <v>9.1762238616649797E-3</v>
      </c>
      <c r="CL42" s="6">
        <v>9.5189270820138904E-3</v>
      </c>
      <c r="CM42" s="6">
        <v>5.4376093038409302E-3</v>
      </c>
      <c r="CN42" s="6">
        <v>7.26467182139538E-3</v>
      </c>
    </row>
    <row r="43" spans="1:93" s="7" customFormat="1" x14ac:dyDescent="0.2">
      <c r="A43" s="6" t="s">
        <v>169</v>
      </c>
      <c r="B43" s="6" t="s">
        <v>169</v>
      </c>
      <c r="C43" s="6">
        <v>0.70982368919216898</v>
      </c>
      <c r="D43" s="6">
        <v>28</v>
      </c>
      <c r="E43" s="6">
        <v>0.44</v>
      </c>
      <c r="F43" s="6">
        <v>11.184210526315789</v>
      </c>
      <c r="G43" s="6">
        <v>97.806232542373593</v>
      </c>
      <c r="H43" s="6" t="s">
        <v>377</v>
      </c>
      <c r="I43" s="6" t="s">
        <v>155</v>
      </c>
      <c r="J43" s="6">
        <v>1.21193687573412E-2</v>
      </c>
      <c r="K43" s="6">
        <v>1.6635888465631799E-3</v>
      </c>
      <c r="L43" s="6">
        <v>0</v>
      </c>
      <c r="M43" s="6">
        <v>4.48372532845406E-3</v>
      </c>
      <c r="N43" s="6">
        <v>3.76292879199176E-3</v>
      </c>
      <c r="O43" s="6">
        <v>5.9714527467787505E-4</v>
      </c>
      <c r="P43" s="6">
        <v>0</v>
      </c>
      <c r="Q43" s="6">
        <v>7.33059118005003E-5</v>
      </c>
      <c r="R43" s="6">
        <v>0</v>
      </c>
      <c r="S43" s="6">
        <v>0</v>
      </c>
      <c r="T43" s="6">
        <v>7.0325851617683506E-5</v>
      </c>
      <c r="U43" s="6">
        <v>8.4006714539249202E-5</v>
      </c>
      <c r="V43" s="6">
        <v>1.1445558777852499E-2</v>
      </c>
      <c r="W43" s="6">
        <v>3.3059402494415397E-4</v>
      </c>
      <c r="X43" s="6">
        <v>8.1823866919727604E-4</v>
      </c>
      <c r="Y43" s="6">
        <v>1.1294161666279699E-3</v>
      </c>
      <c r="Z43" s="6">
        <v>7.0684631787400101E-4</v>
      </c>
      <c r="AA43" s="6">
        <v>4.2414660976122301E-3</v>
      </c>
      <c r="AB43" s="6">
        <v>0</v>
      </c>
      <c r="AC43" s="6">
        <v>6.0800198898127E-5</v>
      </c>
      <c r="AD43" s="6">
        <v>3.47196229375407E-5</v>
      </c>
      <c r="AE43" s="6">
        <v>0</v>
      </c>
      <c r="AF43" s="6">
        <v>0</v>
      </c>
      <c r="AG43" s="6">
        <v>1.92457127727455E-3</v>
      </c>
      <c r="AH43" s="6">
        <v>3.5348093900073997E-5</v>
      </c>
      <c r="AI43" s="6">
        <v>0</v>
      </c>
      <c r="AJ43" s="6">
        <v>0</v>
      </c>
      <c r="AK43" s="6">
        <v>1.2746061217417E-4</v>
      </c>
      <c r="AL43" s="6">
        <v>3.2527598449667502E-5</v>
      </c>
      <c r="AM43" s="6">
        <v>0</v>
      </c>
      <c r="AN43" s="6">
        <v>2.4082302094923401E-5</v>
      </c>
      <c r="AO43" s="6">
        <v>7.28264264664693E-5</v>
      </c>
      <c r="AP43" s="6">
        <v>6.7387756824653807E-5</v>
      </c>
      <c r="AQ43" s="6">
        <v>1.8864877958973599E-5</v>
      </c>
      <c r="AR43" s="6">
        <v>0</v>
      </c>
      <c r="AS43" s="6">
        <v>0</v>
      </c>
      <c r="AT43" s="6">
        <v>6.89540850179606E-3</v>
      </c>
      <c r="AU43" s="6">
        <v>1.00000230258775E-4</v>
      </c>
      <c r="AV43" s="6">
        <v>5.7030739108127797E-4</v>
      </c>
      <c r="AW43" s="6">
        <v>2.1682681977195998E-5</v>
      </c>
      <c r="AX43" s="6">
        <v>0</v>
      </c>
      <c r="AY43" s="6">
        <v>7.8494097419542896E-3</v>
      </c>
      <c r="AZ43" s="6">
        <v>0</v>
      </c>
      <c r="BA43" s="6">
        <v>0</v>
      </c>
      <c r="BB43" s="6">
        <v>0</v>
      </c>
      <c r="BC43" s="6">
        <v>1.3221812679924501E-4</v>
      </c>
      <c r="BD43" s="6">
        <v>4.5138279354606403E-5</v>
      </c>
      <c r="BE43" s="6">
        <v>5.89071484339432E-5</v>
      </c>
      <c r="BF43" s="6">
        <v>0</v>
      </c>
      <c r="BG43" s="6">
        <v>0</v>
      </c>
      <c r="BH43" s="6">
        <v>0</v>
      </c>
      <c r="BI43" s="6">
        <v>2.04879261489712E-5</v>
      </c>
      <c r="BJ43" s="6">
        <v>5.6235945322507203E-5</v>
      </c>
      <c r="BK43" s="6">
        <v>1.0153154619933199E-4</v>
      </c>
      <c r="BL43" s="6">
        <v>0</v>
      </c>
      <c r="BM43" s="6">
        <v>0</v>
      </c>
      <c r="BN43" s="6">
        <v>3.30088200426074E-5</v>
      </c>
      <c r="BO43" s="6">
        <v>0</v>
      </c>
      <c r="BP43" s="6">
        <v>0</v>
      </c>
      <c r="BQ43" s="6">
        <v>1.20947528999577E-4</v>
      </c>
      <c r="BR43" s="6">
        <v>0</v>
      </c>
      <c r="BS43" s="6">
        <v>0</v>
      </c>
      <c r="BT43" s="6">
        <v>7.8289766900363806E-5</v>
      </c>
      <c r="BU43" s="6">
        <v>1.4905618447133299E-4</v>
      </c>
      <c r="BV43" s="6">
        <v>0</v>
      </c>
      <c r="BW43" s="6">
        <v>9.4889028449383602E-5</v>
      </c>
      <c r="BX43" s="6">
        <v>0</v>
      </c>
      <c r="BY43" s="6">
        <v>0</v>
      </c>
      <c r="BZ43" s="6">
        <v>0</v>
      </c>
      <c r="CA43" s="6">
        <v>0</v>
      </c>
      <c r="CB43" s="6">
        <v>3.0304770540604799E-5</v>
      </c>
      <c r="CC43" s="6">
        <v>0</v>
      </c>
      <c r="CD43" s="6">
        <v>1.2135788526528399E-5</v>
      </c>
      <c r="CE43" s="6">
        <v>7.4543709389562494E-5</v>
      </c>
      <c r="CF43" s="6">
        <v>0</v>
      </c>
      <c r="CG43" s="6">
        <v>0</v>
      </c>
      <c r="CH43" s="6">
        <v>0</v>
      </c>
      <c r="CI43" s="6">
        <v>0</v>
      </c>
      <c r="CJ43" s="6">
        <v>2.2255942980943701E-4</v>
      </c>
      <c r="CK43" s="6">
        <v>1.0898782858038E-4</v>
      </c>
      <c r="CL43" s="6">
        <v>9.5077334992716805E-5</v>
      </c>
      <c r="CM43" s="6">
        <v>0</v>
      </c>
      <c r="CN43" s="6">
        <v>0</v>
      </c>
    </row>
    <row r="44" spans="1:93" s="7" customFormat="1" x14ac:dyDescent="0.2">
      <c r="A44" s="6" t="s">
        <v>180</v>
      </c>
      <c r="B44" s="6" t="s">
        <v>180</v>
      </c>
      <c r="C44" s="6">
        <v>3.1233961374274157</v>
      </c>
      <c r="D44" s="6">
        <v>14</v>
      </c>
      <c r="E44" s="6">
        <v>0.99047619047619051</v>
      </c>
      <c r="F44" s="6">
        <v>0.85675699999999999</v>
      </c>
      <c r="G44" s="6">
        <v>37.107082195926083</v>
      </c>
      <c r="H44" s="6" t="s">
        <v>377</v>
      </c>
      <c r="I44" s="6" t="s">
        <v>177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</row>
    <row r="45" spans="1:93" s="7" customFormat="1" x14ac:dyDescent="0.2">
      <c r="A45" s="6" t="s">
        <v>204</v>
      </c>
      <c r="B45" s="6" t="s">
        <v>204</v>
      </c>
      <c r="C45" s="6">
        <v>4.6010840569861912E-2</v>
      </c>
      <c r="D45" s="6">
        <v>155</v>
      </c>
      <c r="E45" s="6">
        <v>0.84378698224852067</v>
      </c>
      <c r="F45" s="6">
        <v>11.184210526315789</v>
      </c>
      <c r="G45" s="6">
        <v>67.302317638454454</v>
      </c>
      <c r="H45" s="6" t="s">
        <v>377</v>
      </c>
      <c r="I45" s="6" t="s">
        <v>155</v>
      </c>
      <c r="J45" s="6">
        <v>0</v>
      </c>
      <c r="K45" s="6">
        <v>0</v>
      </c>
      <c r="L45" s="6">
        <v>4.1410168722028101E-4</v>
      </c>
      <c r="M45" s="6">
        <v>0</v>
      </c>
      <c r="N45" s="6">
        <v>0</v>
      </c>
      <c r="O45" s="6">
        <v>6.9917517534346895E-5</v>
      </c>
      <c r="P45" s="6">
        <v>4.7253610805665801E-5</v>
      </c>
      <c r="Q45" s="6">
        <v>0</v>
      </c>
      <c r="R45" s="6">
        <v>0</v>
      </c>
      <c r="S45" s="6">
        <v>1.1009662349772999E-5</v>
      </c>
      <c r="T45" s="6">
        <v>0</v>
      </c>
      <c r="U45" s="6">
        <v>6.5479748097562699E-5</v>
      </c>
      <c r="V45" s="6">
        <v>0</v>
      </c>
      <c r="W45" s="6">
        <v>0</v>
      </c>
      <c r="X45" s="6">
        <v>6.8132449031058502E-5</v>
      </c>
      <c r="Y45" s="6">
        <v>0</v>
      </c>
      <c r="Z45" s="6">
        <v>4.6401818392266802E-4</v>
      </c>
      <c r="AA45" s="6">
        <v>0</v>
      </c>
      <c r="AB45" s="6">
        <v>0</v>
      </c>
      <c r="AC45" s="6">
        <v>0</v>
      </c>
      <c r="AD45" s="6">
        <v>0</v>
      </c>
      <c r="AE45" s="6">
        <v>9.9239141816981203E-5</v>
      </c>
      <c r="AF45" s="6">
        <v>0</v>
      </c>
      <c r="AG45" s="6">
        <v>0</v>
      </c>
      <c r="AH45" s="6">
        <v>1.0204130402755301E-4</v>
      </c>
      <c r="AI45" s="6">
        <v>5.5508820607280103E-5</v>
      </c>
      <c r="AJ45" s="6">
        <v>0</v>
      </c>
      <c r="AK45" s="6">
        <v>0</v>
      </c>
      <c r="AL45" s="6">
        <v>0</v>
      </c>
      <c r="AM45" s="6">
        <v>9.1896717731892401E-6</v>
      </c>
      <c r="AN45" s="6">
        <v>7.4882269785859796E-5</v>
      </c>
      <c r="AO45" s="6">
        <v>0</v>
      </c>
      <c r="AP45" s="6">
        <v>0</v>
      </c>
      <c r="AQ45" s="6">
        <v>0</v>
      </c>
      <c r="AR45" s="6">
        <v>2.3747286946263E-5</v>
      </c>
      <c r="AS45" s="6">
        <v>0</v>
      </c>
      <c r="AT45" s="6">
        <v>0</v>
      </c>
      <c r="AU45" s="6">
        <v>3.5015150713957999E-5</v>
      </c>
      <c r="AV45" s="6">
        <v>0</v>
      </c>
      <c r="AW45" s="6">
        <v>2.3886801468626801E-5</v>
      </c>
      <c r="AX45" s="6">
        <v>2.4099942145191399E-5</v>
      </c>
      <c r="AY45" s="6">
        <v>0</v>
      </c>
      <c r="AZ45" s="6">
        <v>7.9012353846835806E-5</v>
      </c>
      <c r="BA45" s="6">
        <v>3.2970763183830603E-5</v>
      </c>
      <c r="BB45" s="6">
        <v>2.03259100815378E-4</v>
      </c>
      <c r="BC45" s="6">
        <v>0</v>
      </c>
      <c r="BD45" s="6">
        <v>0</v>
      </c>
      <c r="BE45" s="6">
        <v>6.08771061976501E-5</v>
      </c>
      <c r="BF45" s="6">
        <v>1.3276634515863901E-4</v>
      </c>
      <c r="BG45" s="6">
        <v>1.3535085390389899E-4</v>
      </c>
      <c r="BH45" s="6">
        <v>0</v>
      </c>
      <c r="BI45" s="6">
        <v>5.5948442360027799E-5</v>
      </c>
      <c r="BJ45" s="6">
        <v>5.6517507420168899E-5</v>
      </c>
      <c r="BK45" s="6">
        <v>0</v>
      </c>
      <c r="BL45" s="6">
        <v>2.19171459660699E-5</v>
      </c>
      <c r="BM45" s="6">
        <v>0</v>
      </c>
      <c r="BN45" s="6">
        <v>6.6108758296802301E-5</v>
      </c>
      <c r="BO45" s="6">
        <v>3.1150283245733599E-4</v>
      </c>
      <c r="BP45" s="6">
        <v>0</v>
      </c>
      <c r="BQ45" s="6">
        <v>2.8169685607731701E-4</v>
      </c>
      <c r="BR45" s="6">
        <v>4.8654386415097103E-5</v>
      </c>
      <c r="BS45" s="6">
        <v>4.64712120733599E-5</v>
      </c>
      <c r="BT45" s="6">
        <v>1.0286650867989701E-4</v>
      </c>
      <c r="BU45" s="6">
        <v>7.3831892390845795E-5</v>
      </c>
      <c r="BV45" s="6">
        <v>3.8759395939100902E-5</v>
      </c>
      <c r="BW45" s="6">
        <v>6.2555860140470595E-5</v>
      </c>
      <c r="BX45" s="6">
        <v>4.00544709652619E-5</v>
      </c>
      <c r="BY45" s="6">
        <v>2.25389147027715E-4</v>
      </c>
      <c r="BZ45" s="6">
        <v>4.51978732593138E-5</v>
      </c>
      <c r="CA45" s="6">
        <v>0</v>
      </c>
      <c r="CB45" s="6">
        <v>5.6692289997478497E-5</v>
      </c>
      <c r="CC45" s="6">
        <v>0</v>
      </c>
      <c r="CD45" s="6">
        <v>5.3576581546614301E-5</v>
      </c>
      <c r="CE45" s="6">
        <v>4.0810226016168201E-5</v>
      </c>
      <c r="CF45" s="6">
        <v>6.55589516240212E-5</v>
      </c>
      <c r="CG45" s="6">
        <v>1.1464760850961E-4</v>
      </c>
      <c r="CH45" s="6">
        <v>3.3678365043930602E-5</v>
      </c>
      <c r="CI45" s="6">
        <v>2.8482427461484201E-5</v>
      </c>
      <c r="CJ45" s="6">
        <v>3.7145225569003998E-5</v>
      </c>
      <c r="CK45" s="6">
        <v>8.8458994805117703E-5</v>
      </c>
      <c r="CL45" s="6">
        <v>6.5600628463578198E-5</v>
      </c>
      <c r="CM45" s="6">
        <v>7.4808336927241701E-5</v>
      </c>
      <c r="CN45" s="6">
        <v>0</v>
      </c>
    </row>
    <row r="46" spans="1:93" s="7" customFormat="1" x14ac:dyDescent="0.2">
      <c r="A46" s="6" t="s">
        <v>245</v>
      </c>
      <c r="B46" s="6" t="s">
        <v>245</v>
      </c>
      <c r="C46" s="6">
        <v>9.5975836821952178</v>
      </c>
      <c r="D46" s="6">
        <v>52</v>
      </c>
      <c r="E46" s="6">
        <v>0.94679849340866296</v>
      </c>
      <c r="F46" s="6">
        <v>0.85675699999999999</v>
      </c>
      <c r="G46" s="6">
        <v>404.83725432084952</v>
      </c>
      <c r="H46" s="6" t="s">
        <v>377</v>
      </c>
      <c r="I46" s="6" t="s">
        <v>385</v>
      </c>
      <c r="J46" s="6">
        <v>6.2209827915326601E-5</v>
      </c>
      <c r="K46" s="6">
        <v>7.4611195710649802E-5</v>
      </c>
      <c r="L46" s="6">
        <v>3.5060572228777298E-4</v>
      </c>
      <c r="M46" s="6">
        <v>1.45853884467158E-4</v>
      </c>
      <c r="N46" s="6">
        <v>0</v>
      </c>
      <c r="O46" s="6">
        <v>0</v>
      </c>
      <c r="P46" s="6">
        <v>0</v>
      </c>
      <c r="Q46" s="6">
        <v>0</v>
      </c>
      <c r="R46" s="6">
        <v>2.4157611905395802E-5</v>
      </c>
      <c r="S46" s="6">
        <v>0</v>
      </c>
      <c r="T46" s="6">
        <v>3.0741850059251602E-5</v>
      </c>
      <c r="U46" s="6">
        <v>3.3583812766119198E-5</v>
      </c>
      <c r="V46" s="6">
        <v>0</v>
      </c>
      <c r="W46" s="6">
        <v>5.1114957025378899E-5</v>
      </c>
      <c r="X46" s="6">
        <v>5.5927962767311399E-5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1.06057894232426E-4</v>
      </c>
      <c r="AE46" s="6">
        <v>0</v>
      </c>
      <c r="AF46" s="6">
        <v>3.1100186973385198E-4</v>
      </c>
      <c r="AG46" s="6">
        <v>0</v>
      </c>
      <c r="AH46" s="6">
        <v>2.7659479293958098E-4</v>
      </c>
      <c r="AI46" s="6">
        <v>1.0271384808752601E-4</v>
      </c>
      <c r="AJ46" s="6">
        <v>3.3829610692280002E-4</v>
      </c>
      <c r="AK46" s="6">
        <v>2.8836131676091697E-4</v>
      </c>
      <c r="AL46" s="6">
        <v>1.7668919821768801E-4</v>
      </c>
      <c r="AM46" s="6">
        <v>6.53017770735553E-5</v>
      </c>
      <c r="AN46" s="6">
        <v>4.6373726891360801E-5</v>
      </c>
      <c r="AO46" s="6">
        <v>0</v>
      </c>
      <c r="AP46" s="6">
        <v>1.0087440823212499E-4</v>
      </c>
      <c r="AQ46" s="6">
        <v>1.01648037918683E-4</v>
      </c>
      <c r="AR46" s="6">
        <v>0</v>
      </c>
      <c r="AS46" s="6">
        <v>2.2180585192646299E-4</v>
      </c>
      <c r="AT46" s="6">
        <v>4.0763737850389697E-5</v>
      </c>
      <c r="AU46" s="6">
        <v>5.4210198808598603E-5</v>
      </c>
      <c r="AV46" s="6">
        <v>0</v>
      </c>
      <c r="AW46" s="6">
        <v>8.2955464604950806E-5</v>
      </c>
      <c r="AX46" s="6">
        <v>1.2247938584799401E-4</v>
      </c>
      <c r="AY46" s="6">
        <v>1.21571003061076E-5</v>
      </c>
      <c r="AZ46" s="6">
        <v>2.3423349577378501E-4</v>
      </c>
      <c r="BA46" s="6">
        <v>1.57352265461469E-4</v>
      </c>
      <c r="BB46" s="6">
        <v>3.9318324259927299E-4</v>
      </c>
      <c r="BC46" s="6">
        <v>2.86004587995378E-4</v>
      </c>
      <c r="BD46" s="6">
        <v>0</v>
      </c>
      <c r="BE46" s="6">
        <v>2.8350844502838098E-4</v>
      </c>
      <c r="BF46" s="6">
        <v>6.42199554564571E-4</v>
      </c>
      <c r="BG46" s="6">
        <v>2.3432736018059099E-4</v>
      </c>
      <c r="BH46" s="6">
        <v>7.7594689569372106E-5</v>
      </c>
      <c r="BI46" s="6">
        <v>0</v>
      </c>
      <c r="BJ46" s="6">
        <v>2.1603096220563901E-4</v>
      </c>
      <c r="BK46" s="6">
        <v>1.3365801285104601E-4</v>
      </c>
      <c r="BL46" s="6">
        <v>0</v>
      </c>
      <c r="BM46" s="6">
        <v>4.8271967451741501E-4</v>
      </c>
      <c r="BN46" s="6">
        <v>1.9318348659828099E-4</v>
      </c>
      <c r="BO46" s="6">
        <v>1.9092816561675199E-4</v>
      </c>
      <c r="BP46" s="6">
        <v>1.78619553740859E-4</v>
      </c>
      <c r="BQ46" s="6">
        <v>1.97018949911427E-4</v>
      </c>
      <c r="BR46" s="6">
        <v>0</v>
      </c>
      <c r="BS46" s="6">
        <v>2.4742751876806002E-4</v>
      </c>
      <c r="BT46" s="6">
        <v>1.22403264326569E-4</v>
      </c>
      <c r="BU46" s="6">
        <v>1.71164225778699E-4</v>
      </c>
      <c r="BV46" s="6">
        <v>2.0588182058392E-4</v>
      </c>
      <c r="BW46" s="6">
        <v>5.1316851173076404E-4</v>
      </c>
      <c r="BX46" s="6">
        <v>2.3645581565496799E-4</v>
      </c>
      <c r="BY46" s="6">
        <v>0</v>
      </c>
      <c r="BZ46" s="6">
        <v>1.22588011383991E-5</v>
      </c>
      <c r="CA46" s="6">
        <v>2.5094121707057298E-5</v>
      </c>
      <c r="CB46" s="6">
        <v>0</v>
      </c>
      <c r="CC46" s="6">
        <v>1.4506010918029501E-4</v>
      </c>
      <c r="CD46" s="6">
        <v>0</v>
      </c>
      <c r="CE46" s="6">
        <v>2.2315211121331E-4</v>
      </c>
      <c r="CF46" s="6">
        <v>0</v>
      </c>
      <c r="CG46" s="6">
        <v>1.4322505575997999E-4</v>
      </c>
      <c r="CH46" s="6">
        <v>2.1037009351321801E-4</v>
      </c>
      <c r="CI46" s="6">
        <v>6.8560188031147897E-5</v>
      </c>
      <c r="CJ46" s="6">
        <v>1.4733536386955001E-4</v>
      </c>
      <c r="CK46" s="6">
        <v>0</v>
      </c>
      <c r="CL46" s="6">
        <v>2.9779678169574402E-4</v>
      </c>
      <c r="CM46" s="6">
        <v>2.7880656770406701E-4</v>
      </c>
      <c r="CN46" s="6">
        <v>1.04665607856654E-4</v>
      </c>
    </row>
    <row r="47" spans="1:93" s="7" customFormat="1" x14ac:dyDescent="0.2">
      <c r="A47" s="6" t="s">
        <v>256</v>
      </c>
      <c r="B47" s="6" t="s">
        <v>256</v>
      </c>
      <c r="C47" s="6">
        <v>8.4145798694027787E-2</v>
      </c>
      <c r="D47" s="6">
        <v>5</v>
      </c>
      <c r="E47" s="6">
        <v>0.98527245949926368</v>
      </c>
      <c r="F47" s="6">
        <v>690.19756480754131</v>
      </c>
      <c r="G47" s="6">
        <v>286.10945329464647</v>
      </c>
      <c r="H47" s="6" t="s">
        <v>377</v>
      </c>
      <c r="I47" s="6" t="s">
        <v>305</v>
      </c>
      <c r="J47" s="6">
        <v>1.0072887882259499E-4</v>
      </c>
      <c r="K47" s="6">
        <v>0</v>
      </c>
      <c r="L47" s="6">
        <v>0</v>
      </c>
      <c r="M47" s="6">
        <v>3.6226051484208503E-4</v>
      </c>
      <c r="N47" s="6">
        <v>6.28187080047787E-5</v>
      </c>
      <c r="O47" s="6">
        <v>0</v>
      </c>
      <c r="P47" s="6">
        <v>0</v>
      </c>
      <c r="Q47" s="6">
        <v>1.6337439788394401E-4</v>
      </c>
      <c r="R47" s="6">
        <v>0</v>
      </c>
      <c r="S47" s="6">
        <v>0</v>
      </c>
      <c r="T47" s="6">
        <v>0</v>
      </c>
      <c r="U47" s="6">
        <v>7.91527485179369E-5</v>
      </c>
      <c r="V47" s="6">
        <v>0</v>
      </c>
      <c r="W47" s="6">
        <v>7.4134438068521798E-5</v>
      </c>
      <c r="X47" s="6">
        <v>8.9663564523373996E-5</v>
      </c>
      <c r="Y47" s="6">
        <v>1.4871781635412E-4</v>
      </c>
      <c r="Z47" s="6">
        <v>0</v>
      </c>
      <c r="AA47" s="6">
        <v>0</v>
      </c>
      <c r="AB47" s="6">
        <v>0</v>
      </c>
      <c r="AC47" s="6">
        <v>3.3974181297829699E-5</v>
      </c>
      <c r="AD47" s="6">
        <v>1.6480371601563699E-4</v>
      </c>
      <c r="AE47" s="6">
        <v>2.35541263291488E-4</v>
      </c>
      <c r="AF47" s="6">
        <v>2.38636571019335E-4</v>
      </c>
      <c r="AG47" s="6">
        <v>0</v>
      </c>
      <c r="AH47" s="6">
        <v>2.3118731439856601E-4</v>
      </c>
      <c r="AI47" s="6">
        <v>1.9544654607584001E-4</v>
      </c>
      <c r="AJ47" s="6">
        <v>0</v>
      </c>
      <c r="AK47" s="6">
        <v>0</v>
      </c>
      <c r="AL47" s="6">
        <v>3.0900606243842202E-4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4.7275159198422698E-5</v>
      </c>
      <c r="AU47" s="6">
        <v>0</v>
      </c>
      <c r="AV47" s="6">
        <v>0</v>
      </c>
      <c r="AW47" s="6">
        <v>0</v>
      </c>
      <c r="AX47" s="6">
        <v>2.7401794184048802E-4</v>
      </c>
      <c r="AY47" s="6">
        <v>8.3289642885835301E-5</v>
      </c>
      <c r="AZ47" s="6">
        <v>0</v>
      </c>
      <c r="BA47" s="6">
        <v>0</v>
      </c>
      <c r="BB47" s="6">
        <v>1.0551252106930601E-3</v>
      </c>
      <c r="BC47" s="6">
        <v>0</v>
      </c>
      <c r="BD47" s="6">
        <v>5.2295220678593498E-4</v>
      </c>
      <c r="BE47" s="6">
        <v>7.2438925546819595E-4</v>
      </c>
      <c r="BF47" s="6">
        <v>7.0409295680854496E-4</v>
      </c>
      <c r="BG47" s="6">
        <v>8.3978671492694905E-4</v>
      </c>
      <c r="BH47" s="6">
        <v>2.04127257145367E-4</v>
      </c>
      <c r="BI47" s="6">
        <v>5.4455907513162598E-4</v>
      </c>
      <c r="BJ47" s="6">
        <v>0</v>
      </c>
      <c r="BK47" s="6">
        <v>2.8463676837288502E-4</v>
      </c>
      <c r="BL47" s="6">
        <v>1.13716111327664E-4</v>
      </c>
      <c r="BM47" s="6">
        <v>8.3661953287168095E-4</v>
      </c>
      <c r="BN47" s="6">
        <v>2.7753068014278298E-4</v>
      </c>
      <c r="BO47" s="6">
        <v>3.8340961522081399E-4</v>
      </c>
      <c r="BP47" s="6">
        <v>3.5124811318455003E-4</v>
      </c>
      <c r="BQ47" s="6">
        <v>3.9732784338210401E-4</v>
      </c>
      <c r="BR47" s="6">
        <v>0</v>
      </c>
      <c r="BS47" s="6">
        <v>2.9737537314772702E-4</v>
      </c>
      <c r="BT47" s="6">
        <v>2.0333914822857899E-4</v>
      </c>
      <c r="BU47" s="6">
        <v>6.3125669906438501E-4</v>
      </c>
      <c r="BV47" s="6">
        <v>3.54188943532647E-4</v>
      </c>
      <c r="BW47" s="6">
        <v>8.5952398466118901E-4</v>
      </c>
      <c r="BX47" s="6">
        <v>9.0757599403865595E-4</v>
      </c>
      <c r="BY47" s="6">
        <v>4.5888937259664199E-4</v>
      </c>
      <c r="BZ47" s="6">
        <v>2.9471890843379398E-4</v>
      </c>
      <c r="CA47" s="6">
        <v>0</v>
      </c>
      <c r="CB47" s="6">
        <v>5.0849302490491802E-4</v>
      </c>
      <c r="CC47" s="6">
        <v>2.84503098092163E-4</v>
      </c>
      <c r="CD47" s="6">
        <v>2.2588791666766701E-4</v>
      </c>
      <c r="CE47" s="6">
        <v>3.4915559039314602E-4</v>
      </c>
      <c r="CF47" s="6">
        <v>3.5781125727711002E-4</v>
      </c>
      <c r="CG47" s="6">
        <v>4.54105748870131E-4</v>
      </c>
      <c r="CH47" s="6">
        <v>5.4369457547499096E-4</v>
      </c>
      <c r="CI47" s="6">
        <v>0</v>
      </c>
      <c r="CJ47" s="6">
        <v>0</v>
      </c>
      <c r="CK47" s="6">
        <v>5.3102626233640096E-4</v>
      </c>
      <c r="CL47" s="6">
        <v>5.6788971070312702E-4</v>
      </c>
      <c r="CM47" s="6">
        <v>4.9240221740993702E-4</v>
      </c>
      <c r="CN47" s="6">
        <v>0</v>
      </c>
    </row>
    <row r="48" spans="1:93" s="7" customFormat="1" x14ac:dyDescent="0.2">
      <c r="A48" s="6" t="s">
        <v>265</v>
      </c>
      <c r="B48" s="6" t="s">
        <v>265</v>
      </c>
      <c r="C48" s="6">
        <v>2.388289338908973E-3</v>
      </c>
      <c r="D48" s="6">
        <v>156</v>
      </c>
      <c r="E48" s="6">
        <v>0.88558352402745999</v>
      </c>
      <c r="F48" s="6">
        <v>1443.7853085939851</v>
      </c>
      <c r="G48" s="6">
        <v>476.36921161943945</v>
      </c>
      <c r="H48" s="6" t="s">
        <v>377</v>
      </c>
      <c r="I48" s="6" t="s">
        <v>254</v>
      </c>
      <c r="J48" s="6">
        <v>6.3856483678589103E-5</v>
      </c>
      <c r="K48" s="6">
        <v>2.3790414017459301E-4</v>
      </c>
      <c r="L48" s="6">
        <v>2.7172024656040299E-4</v>
      </c>
      <c r="M48" s="6">
        <v>3.22357664037744E-3</v>
      </c>
      <c r="N48" s="6">
        <v>1.41964252486356E-4</v>
      </c>
      <c r="O48" s="6">
        <v>0</v>
      </c>
      <c r="P48" s="6">
        <v>0</v>
      </c>
      <c r="Q48" s="6">
        <v>0</v>
      </c>
      <c r="R48" s="6">
        <v>7.6831444784782204E-5</v>
      </c>
      <c r="S48" s="6">
        <v>0</v>
      </c>
      <c r="T48" s="6">
        <v>0</v>
      </c>
      <c r="U48" s="6">
        <v>0</v>
      </c>
      <c r="V48" s="6">
        <v>8.3319949873907095E-4</v>
      </c>
      <c r="W48" s="6">
        <v>1.52569948628088E-4</v>
      </c>
      <c r="X48" s="6">
        <v>1.8027686619593799E-4</v>
      </c>
      <c r="Y48" s="6">
        <v>1.2384743033554301E-4</v>
      </c>
      <c r="Z48" s="6">
        <v>5.8183253160407299E-5</v>
      </c>
      <c r="AA48" s="6">
        <v>7.6581699504292902E-4</v>
      </c>
      <c r="AB48" s="6">
        <v>3.4346065989402303E-5</v>
      </c>
      <c r="AC48" s="6">
        <v>0</v>
      </c>
      <c r="AD48" s="6">
        <v>0</v>
      </c>
      <c r="AE48" s="6">
        <v>0</v>
      </c>
      <c r="AF48" s="6">
        <v>4.3321850568826201E-5</v>
      </c>
      <c r="AG48" s="6">
        <v>0</v>
      </c>
      <c r="AH48" s="6">
        <v>0</v>
      </c>
      <c r="AI48" s="6">
        <v>0</v>
      </c>
      <c r="AJ48" s="6">
        <v>5.3087833223313396E-3</v>
      </c>
      <c r="AK48" s="6">
        <v>0</v>
      </c>
      <c r="AL48" s="6">
        <v>0</v>
      </c>
      <c r="AM48" s="6">
        <v>0</v>
      </c>
      <c r="AN48" s="6">
        <v>0</v>
      </c>
      <c r="AO48" s="6">
        <v>2.8124058977459801E-5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2.6717142079166E-4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1.8849290165264699E-3</v>
      </c>
      <c r="BP48" s="6">
        <v>1.2308921443668699E-4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1.01233208113295E-4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5.0149660810963E-5</v>
      </c>
      <c r="CG48" s="6">
        <v>0</v>
      </c>
      <c r="CH48" s="6">
        <v>0</v>
      </c>
      <c r="CI48" s="6">
        <v>0</v>
      </c>
      <c r="CJ48" s="6">
        <v>7.3097075186860096E-5</v>
      </c>
      <c r="CK48" s="6">
        <v>0</v>
      </c>
      <c r="CL48" s="6">
        <v>0</v>
      </c>
      <c r="CM48" s="6">
        <v>0</v>
      </c>
      <c r="CN48" s="6">
        <v>0</v>
      </c>
    </row>
    <row r="49" spans="1:93" s="7" customFormat="1" x14ac:dyDescent="0.2">
      <c r="A49" s="6" t="s">
        <v>275</v>
      </c>
      <c r="B49" s="6" t="s">
        <v>275</v>
      </c>
      <c r="C49" s="6">
        <v>1.0646882685237417E-2</v>
      </c>
      <c r="D49" s="6">
        <v>25</v>
      </c>
      <c r="E49" s="6">
        <v>0.66666666666666663</v>
      </c>
      <c r="F49" s="6">
        <v>1443.7853085939851</v>
      </c>
      <c r="G49" s="6">
        <v>256.19688005449103</v>
      </c>
      <c r="H49" s="6" t="s">
        <v>377</v>
      </c>
      <c r="I49" s="6" t="s">
        <v>254</v>
      </c>
      <c r="J49" s="6">
        <v>2.4203490379552E-4</v>
      </c>
      <c r="K49" s="6">
        <v>2.74975499736344E-4</v>
      </c>
      <c r="L49" s="6">
        <v>0</v>
      </c>
      <c r="M49" s="6">
        <v>4.3193261636357698E-4</v>
      </c>
      <c r="N49" s="6">
        <v>1.4511523183633501E-4</v>
      </c>
      <c r="O49" s="6">
        <v>1.24669724569543E-4</v>
      </c>
      <c r="P49" s="6">
        <v>4.72355525507492E-4</v>
      </c>
      <c r="Q49" s="6">
        <v>0</v>
      </c>
      <c r="R49" s="6">
        <v>0</v>
      </c>
      <c r="S49" s="6">
        <v>1.3566911749608699E-4</v>
      </c>
      <c r="T49" s="6">
        <v>1.5866421961446101E-4</v>
      </c>
      <c r="U49" s="6">
        <v>2.6641213319412402E-4</v>
      </c>
      <c r="V49" s="6">
        <v>9.0742763242854599E-5</v>
      </c>
      <c r="W49" s="6">
        <v>2.6343289221855801E-4</v>
      </c>
      <c r="X49" s="6">
        <v>2.07184375195216E-4</v>
      </c>
      <c r="Y49" s="6">
        <v>1.7542561187538599E-4</v>
      </c>
      <c r="Z49" s="6">
        <v>2.82222737428983E-4</v>
      </c>
      <c r="AA49" s="6">
        <v>2.59953099484507E-4</v>
      </c>
      <c r="AB49" s="6">
        <v>4.7471067721473903E-4</v>
      </c>
      <c r="AC49" s="6">
        <v>2.0075436642668799E-4</v>
      </c>
      <c r="AD49" s="6">
        <v>2.83608341378712E-4</v>
      </c>
      <c r="AE49" s="6">
        <v>4.7087322922701401E-4</v>
      </c>
      <c r="AF49" s="6">
        <v>2.45395164091322E-4</v>
      </c>
      <c r="AG49" s="6">
        <v>0</v>
      </c>
      <c r="AH49" s="6">
        <v>0</v>
      </c>
      <c r="AI49" s="6">
        <v>4.3467733925978098E-4</v>
      </c>
      <c r="AJ49" s="6">
        <v>4.4501023536975599E-4</v>
      </c>
      <c r="AK49" s="6">
        <v>4.3328334950142299E-4</v>
      </c>
      <c r="AL49" s="6">
        <v>2.6611049327568198E-4</v>
      </c>
      <c r="AM49" s="6">
        <v>0</v>
      </c>
      <c r="AN49" s="6">
        <v>4.01233327967978E-4</v>
      </c>
      <c r="AO49" s="6">
        <v>2.4465550935037002E-4</v>
      </c>
      <c r="AP49" s="6">
        <v>3.54005492267285E-4</v>
      </c>
      <c r="AQ49" s="6">
        <v>3.0012211616151497E-4</v>
      </c>
      <c r="AR49" s="6">
        <v>3.5668841173570301E-4</v>
      </c>
      <c r="AS49" s="6">
        <v>9.3290624433138504E-4</v>
      </c>
      <c r="AT49" s="6">
        <v>1.05692945210515E-4</v>
      </c>
      <c r="AU49" s="6">
        <v>2.3905068912556001E-4</v>
      </c>
      <c r="AV49" s="6">
        <v>1.1627330039367599E-2</v>
      </c>
      <c r="AW49" s="6">
        <v>3.2468258874005201E-4</v>
      </c>
      <c r="AX49" s="6">
        <v>3.4978807548600202E-4</v>
      </c>
      <c r="AY49" s="6">
        <v>2.3834003566699E-4</v>
      </c>
      <c r="AZ49" s="6">
        <v>6.1967788875282503E-4</v>
      </c>
      <c r="BA49" s="6">
        <v>2.4542398298900002E-4</v>
      </c>
      <c r="BB49" s="6">
        <v>0</v>
      </c>
      <c r="BC49" s="6">
        <v>0</v>
      </c>
      <c r="BD49" s="6">
        <v>4.5073678225233E-4</v>
      </c>
      <c r="BE49" s="6">
        <v>3.0738806423726901E-4</v>
      </c>
      <c r="BF49" s="6">
        <v>8.6849435503034901E-4</v>
      </c>
      <c r="BG49" s="6">
        <v>4.4582867686691397E-4</v>
      </c>
      <c r="BH49" s="6">
        <v>5.0546024088554003E-4</v>
      </c>
      <c r="BI49" s="6">
        <v>5.93317283988255E-4</v>
      </c>
      <c r="BJ49" s="6">
        <v>4.3307388907291503E-4</v>
      </c>
      <c r="BK49" s="6">
        <v>0</v>
      </c>
      <c r="BL49" s="6">
        <v>8.4679639409643105E-5</v>
      </c>
      <c r="BM49" s="6">
        <v>8.6083120159775905E-4</v>
      </c>
      <c r="BN49" s="6">
        <v>3.2815951412070902E-4</v>
      </c>
      <c r="BO49" s="6">
        <v>0</v>
      </c>
      <c r="BP49" s="6">
        <v>2.3565681298463E-4</v>
      </c>
      <c r="BQ49" s="6">
        <v>0</v>
      </c>
      <c r="BR49" s="6">
        <v>3.80339122347982E-4</v>
      </c>
      <c r="BS49" s="6">
        <v>2.5528188616074499E-4</v>
      </c>
      <c r="BT49" s="6">
        <v>4.8572672578849898E-4</v>
      </c>
      <c r="BU49" s="6">
        <v>4.3700157276959002E-4</v>
      </c>
      <c r="BV49" s="6">
        <v>2.84780337251475E-4</v>
      </c>
      <c r="BW49" s="6">
        <v>0</v>
      </c>
      <c r="BX49" s="6">
        <v>0</v>
      </c>
      <c r="BY49" s="6">
        <v>9.7037812997569702E-4</v>
      </c>
      <c r="BZ49" s="6">
        <v>0</v>
      </c>
      <c r="CA49" s="6">
        <v>3.9792387763422501E-4</v>
      </c>
      <c r="CB49" s="6">
        <v>3.6694502165488099E-4</v>
      </c>
      <c r="CC49" s="6">
        <v>0</v>
      </c>
      <c r="CD49" s="6">
        <v>2.5459507604705899E-4</v>
      </c>
      <c r="CE49" s="6">
        <v>5.0870030731905698E-4</v>
      </c>
      <c r="CF49" s="6">
        <v>5.1984754818332896E-4</v>
      </c>
      <c r="CG49" s="6">
        <v>0</v>
      </c>
      <c r="CH49" s="6">
        <v>5.3071822295996701E-4</v>
      </c>
      <c r="CI49" s="6">
        <v>2.9230416257624501E-4</v>
      </c>
      <c r="CJ49" s="6">
        <v>1.9926361273538999E-4</v>
      </c>
      <c r="CK49" s="6">
        <v>4.8969537242974704E-4</v>
      </c>
      <c r="CL49" s="6">
        <v>4.5985720991332802E-4</v>
      </c>
      <c r="CM49" s="6">
        <v>4.6051205142205899E-4</v>
      </c>
      <c r="CN49" s="6">
        <v>6.5627218832291603E-4</v>
      </c>
    </row>
    <row r="50" spans="1:93" s="7" customFormat="1" x14ac:dyDescent="0.2">
      <c r="A50" s="6" t="s">
        <v>277</v>
      </c>
      <c r="B50" s="6" t="s">
        <v>277</v>
      </c>
      <c r="C50" s="6">
        <v>4.0402109058382165E-4</v>
      </c>
      <c r="D50" s="6">
        <v>46</v>
      </c>
      <c r="E50" s="6">
        <v>0.87735849056603776</v>
      </c>
      <c r="F50" s="6">
        <v>5250.2631578947367</v>
      </c>
      <c r="G50" s="6">
        <v>85.609118176021397</v>
      </c>
      <c r="H50" s="6" t="s">
        <v>377</v>
      </c>
      <c r="I50" s="6" t="s">
        <v>382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1.38470098137426E-5</v>
      </c>
      <c r="T50" s="6">
        <v>0</v>
      </c>
      <c r="U50" s="6">
        <v>9.2310265484356099E-6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1.0849082206982401E-5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8.4374458767199694E-6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6.4393347120810494E-5</v>
      </c>
      <c r="BI50" s="6">
        <v>2.8982510374795701E-4</v>
      </c>
      <c r="BJ50" s="6">
        <v>0</v>
      </c>
      <c r="BK50" s="6">
        <v>0</v>
      </c>
      <c r="BL50" s="6">
        <v>0</v>
      </c>
      <c r="BM50" s="6">
        <v>0</v>
      </c>
      <c r="BN50" s="6">
        <v>1.1760939069308099E-5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9.07210357793539E-6</v>
      </c>
      <c r="CI50" s="6">
        <v>0</v>
      </c>
      <c r="CJ50" s="6">
        <v>0</v>
      </c>
      <c r="CK50" s="6">
        <v>0</v>
      </c>
      <c r="CL50" s="6">
        <v>5.8038743275185698E-5</v>
      </c>
      <c r="CM50" s="6">
        <v>0</v>
      </c>
      <c r="CN50" s="6">
        <v>0</v>
      </c>
    </row>
    <row r="51" spans="1:93" s="7" customFormat="1" x14ac:dyDescent="0.2">
      <c r="A51" s="6" t="s">
        <v>278</v>
      </c>
      <c r="B51" s="6" t="s">
        <v>278</v>
      </c>
      <c r="C51" s="6">
        <v>2.975141419824175E-2</v>
      </c>
      <c r="D51" s="6">
        <v>1</v>
      </c>
      <c r="E51" s="6">
        <v>0.24</v>
      </c>
      <c r="F51" s="6">
        <v>5251.2286751361162</v>
      </c>
      <c r="G51" s="6">
        <v>37.495555047278124</v>
      </c>
      <c r="H51" s="6" t="s">
        <v>377</v>
      </c>
      <c r="I51" s="6" t="s">
        <v>382</v>
      </c>
      <c r="J51" s="6">
        <v>1.5401924849133E-3</v>
      </c>
      <c r="K51" s="6">
        <v>0</v>
      </c>
      <c r="L51" s="6">
        <v>3.6776889933340701E-3</v>
      </c>
      <c r="M51" s="6">
        <v>0</v>
      </c>
      <c r="N51" s="6">
        <v>1.0457936488199001E-3</v>
      </c>
      <c r="O51" s="6">
        <v>1.01964266640726E-3</v>
      </c>
      <c r="P51" s="6">
        <v>4.2431657806482597E-3</v>
      </c>
      <c r="Q51" s="6">
        <v>1.3522438034542499E-3</v>
      </c>
      <c r="R51" s="6">
        <v>9.900953024783801E-4</v>
      </c>
      <c r="S51" s="6">
        <v>7.1454403813757405E-4</v>
      </c>
      <c r="T51" s="6">
        <v>8.2165972530555203E-4</v>
      </c>
      <c r="U51" s="6">
        <v>0</v>
      </c>
      <c r="V51" s="6">
        <v>0</v>
      </c>
      <c r="W51" s="6">
        <v>0</v>
      </c>
      <c r="X51" s="6">
        <v>1.3143287261448799E-3</v>
      </c>
      <c r="Y51" s="6">
        <v>1.18880603191341E-3</v>
      </c>
      <c r="Z51" s="6">
        <v>1.7220985457789E-3</v>
      </c>
      <c r="AA51" s="6">
        <v>1.06445915127377E-3</v>
      </c>
      <c r="AB51" s="6">
        <v>0</v>
      </c>
      <c r="AC51" s="6">
        <v>8.1199994532780496E-4</v>
      </c>
      <c r="AD51" s="6">
        <v>2.8553016743376601E-3</v>
      </c>
      <c r="AE51" s="6">
        <v>1.6511898107960999E-3</v>
      </c>
      <c r="AF51" s="6">
        <v>3.7056636722215901E-3</v>
      </c>
      <c r="AG51" s="6">
        <v>1.0171663866133699E-3</v>
      </c>
      <c r="AH51" s="6">
        <v>3.9910116911948202E-3</v>
      </c>
      <c r="AI51" s="6">
        <v>2.24802429262386E-3</v>
      </c>
      <c r="AJ51" s="6">
        <v>3.4805670141700102E-3</v>
      </c>
      <c r="AK51" s="6">
        <v>5.9571015016045004E-3</v>
      </c>
      <c r="AL51" s="6">
        <v>2.80345119557225E-3</v>
      </c>
      <c r="AM51" s="6">
        <v>2.0730701580984399E-3</v>
      </c>
      <c r="AN51" s="6">
        <v>0</v>
      </c>
      <c r="AO51" s="6">
        <v>2.6079604440705298E-3</v>
      </c>
      <c r="AP51" s="6">
        <v>3.3545865394186899E-3</v>
      </c>
      <c r="AQ51" s="6">
        <v>2.3736353434206199E-3</v>
      </c>
      <c r="AR51" s="6">
        <v>2.7014193105162399E-3</v>
      </c>
      <c r="AS51" s="6">
        <v>3.9215431675699202E-3</v>
      </c>
      <c r="AT51" s="6">
        <v>0</v>
      </c>
      <c r="AU51" s="6">
        <v>1.15609627002154E-3</v>
      </c>
      <c r="AV51" s="6">
        <v>1.2915642041780801E-2</v>
      </c>
      <c r="AW51" s="6">
        <v>1.6676849135535299E-3</v>
      </c>
      <c r="AX51" s="6">
        <v>3.5800822138580901E-3</v>
      </c>
      <c r="AY51" s="6">
        <v>0</v>
      </c>
      <c r="AZ51" s="6">
        <v>3.4254923344939998E-3</v>
      </c>
      <c r="BA51" s="6">
        <v>3.8843915437499102E-3</v>
      </c>
      <c r="BB51" s="6">
        <v>6.0366778478655901E-3</v>
      </c>
      <c r="BC51" s="6">
        <v>4.3638217243264898E-3</v>
      </c>
      <c r="BD51" s="6">
        <v>3.2717416296732501E-3</v>
      </c>
      <c r="BE51" s="6">
        <v>5.3346631291689801E-3</v>
      </c>
      <c r="BF51" s="6">
        <v>5.7597548616051602E-3</v>
      </c>
      <c r="BG51" s="6">
        <v>0</v>
      </c>
      <c r="BH51" s="6">
        <v>0</v>
      </c>
      <c r="BI51" s="6">
        <v>5.1158523300117E-3</v>
      </c>
      <c r="BJ51" s="6">
        <v>2.8238979621393002E-3</v>
      </c>
      <c r="BK51" s="6">
        <v>2.5954878488052302E-3</v>
      </c>
      <c r="BL51" s="6">
        <v>3.1618772077889799E-4</v>
      </c>
      <c r="BM51" s="6">
        <v>5.5885610555394399E-3</v>
      </c>
      <c r="BN51" s="6">
        <v>3.39463433831887E-3</v>
      </c>
      <c r="BO51" s="6">
        <v>3.3257224338385598E-3</v>
      </c>
      <c r="BP51" s="6">
        <v>2.27443746222954E-3</v>
      </c>
      <c r="BQ51" s="6">
        <v>3.0441216231047201E-3</v>
      </c>
      <c r="BR51" s="6">
        <v>2.8746964985822102E-3</v>
      </c>
      <c r="BS51" s="6">
        <v>2.6823781328422398E-3</v>
      </c>
      <c r="BT51" s="6">
        <v>3.4369403912961499E-3</v>
      </c>
      <c r="BU51" s="6">
        <v>2.4078032704078602E-3</v>
      </c>
      <c r="BV51" s="6">
        <v>2.98580884338714E-3</v>
      </c>
      <c r="BW51" s="6">
        <v>6.3530606297842298E-3</v>
      </c>
      <c r="BX51" s="6">
        <v>3.5208781878214002E-3</v>
      </c>
      <c r="BY51" s="6">
        <v>1.94491219747677E-3</v>
      </c>
      <c r="BZ51" s="6">
        <v>1.3105300994320399E-3</v>
      </c>
      <c r="CA51" s="6">
        <v>6.14498744636013E-4</v>
      </c>
      <c r="CB51" s="6">
        <v>2.5445031918912898E-3</v>
      </c>
      <c r="CC51" s="6">
        <v>1.9595439112922199E-3</v>
      </c>
      <c r="CD51" s="6">
        <v>5.1950651702785703E-4</v>
      </c>
      <c r="CE51" s="6">
        <v>0</v>
      </c>
      <c r="CF51" s="6">
        <v>2.0702652860927601E-3</v>
      </c>
      <c r="CG51" s="6">
        <v>2.6406083971028602E-3</v>
      </c>
      <c r="CH51" s="6">
        <v>4.1528667840052998E-3</v>
      </c>
      <c r="CI51" s="6">
        <v>1.7645216851265499E-3</v>
      </c>
      <c r="CJ51" s="6">
        <v>3.1155376220658002E-3</v>
      </c>
      <c r="CK51" s="6">
        <v>4.2322761787582704E-3</v>
      </c>
      <c r="CL51" s="6">
        <v>6.0841512229170801E-3</v>
      </c>
      <c r="CM51" s="6">
        <v>3.6477074485240699E-3</v>
      </c>
      <c r="CN51" s="6">
        <v>2.58473485916705E-3</v>
      </c>
    </row>
    <row r="52" spans="1:93" s="7" customFormat="1" x14ac:dyDescent="0.2">
      <c r="A52" s="6" t="s">
        <v>293</v>
      </c>
      <c r="B52" s="6" t="s">
        <v>293</v>
      </c>
      <c r="C52" s="6">
        <v>3.4523096811443069E-3</v>
      </c>
      <c r="D52" s="6">
        <v>36</v>
      </c>
      <c r="E52" s="6">
        <v>0.99621928166351603</v>
      </c>
      <c r="F52" s="6">
        <v>5270.2894736842109</v>
      </c>
      <c r="G52" s="6">
        <v>652.53176801095969</v>
      </c>
      <c r="H52" s="6" t="s">
        <v>377</v>
      </c>
      <c r="I52" s="6" t="s">
        <v>382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7.7026648194628395E-6</v>
      </c>
      <c r="AI52" s="6">
        <v>0</v>
      </c>
      <c r="AJ52" s="6">
        <v>1.7993514574913199E-5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1.07820663491351E-5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1.0882332719137599E-5</v>
      </c>
      <c r="BB52" s="6">
        <v>3.71814224019322E-5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9.6872832853130903E-6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1.3998483830983099E-5</v>
      </c>
      <c r="CF52" s="6">
        <v>0</v>
      </c>
      <c r="CG52" s="6">
        <v>0</v>
      </c>
      <c r="CH52" s="6">
        <v>0</v>
      </c>
      <c r="CI52" s="6">
        <v>0</v>
      </c>
      <c r="CJ52" s="6">
        <v>9.7642749473698405E-6</v>
      </c>
      <c r="CK52" s="6">
        <v>0</v>
      </c>
      <c r="CL52" s="6">
        <v>0</v>
      </c>
      <c r="CM52" s="6">
        <v>0</v>
      </c>
      <c r="CN52" s="6">
        <v>0</v>
      </c>
    </row>
    <row r="53" spans="1:93" s="7" customFormat="1" x14ac:dyDescent="0.2">
      <c r="A53" s="6" t="s">
        <v>308</v>
      </c>
      <c r="B53" s="6" t="s">
        <v>308</v>
      </c>
      <c r="C53" s="6">
        <v>0.22575528534841119</v>
      </c>
      <c r="D53" s="6">
        <v>10</v>
      </c>
      <c r="E53" s="6">
        <v>4.2168674698795178E-2</v>
      </c>
      <c r="F53" s="6">
        <v>688.97368421052636</v>
      </c>
      <c r="G53" s="6">
        <v>65.588924984063524</v>
      </c>
      <c r="H53" s="6" t="s">
        <v>377</v>
      </c>
      <c r="I53" s="6" t="s">
        <v>305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3.4657800701798197E-5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7.2441093937544599E-5</v>
      </c>
      <c r="Y53" s="6">
        <v>0</v>
      </c>
      <c r="Z53" s="6">
        <v>0</v>
      </c>
      <c r="AA53" s="6">
        <v>2.93490467478319E-5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6.4463220720445701E-5</v>
      </c>
      <c r="AH53" s="6">
        <v>1.0265804750959099E-5</v>
      </c>
      <c r="AI53" s="6">
        <v>0</v>
      </c>
      <c r="AJ53" s="6">
        <v>2.89117912820302E-5</v>
      </c>
      <c r="AK53" s="6">
        <v>2.8243011313687099E-5</v>
      </c>
      <c r="AL53" s="6">
        <v>0</v>
      </c>
      <c r="AM53" s="6">
        <v>0</v>
      </c>
      <c r="AN53" s="6">
        <v>0</v>
      </c>
      <c r="AO53" s="6">
        <v>5.0499025797174501E-5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3.60895112024241E-5</v>
      </c>
      <c r="AY53" s="6">
        <v>1.9361277070674099E-5</v>
      </c>
      <c r="AZ53" s="6">
        <v>0</v>
      </c>
      <c r="BA53" s="6">
        <v>0</v>
      </c>
      <c r="BB53" s="6">
        <v>3.3735177533543701E-5</v>
      </c>
      <c r="BC53" s="6">
        <v>3.6712841557214299E-5</v>
      </c>
      <c r="BD53" s="6">
        <v>0</v>
      </c>
      <c r="BE53" s="6">
        <v>0</v>
      </c>
      <c r="BF53" s="6">
        <v>0</v>
      </c>
      <c r="BG53" s="6">
        <v>0</v>
      </c>
      <c r="BH53" s="6">
        <v>8.8569052769652904E-5</v>
      </c>
      <c r="BI53" s="6">
        <v>0</v>
      </c>
      <c r="BJ53" s="6">
        <v>0</v>
      </c>
      <c r="BK53" s="6">
        <v>0</v>
      </c>
      <c r="BL53" s="6">
        <v>2.3524749088327599E-5</v>
      </c>
      <c r="BM53" s="6">
        <v>5.5267013886994898E-5</v>
      </c>
      <c r="BN53" s="6">
        <v>0</v>
      </c>
      <c r="BO53" s="6">
        <v>2.65352998781687E-5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1.6302079247705201E-5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</row>
    <row r="54" spans="1:93" s="7" customFormat="1" x14ac:dyDescent="0.2">
      <c r="A54" s="6" t="s">
        <v>318</v>
      </c>
      <c r="B54" s="6" t="s">
        <v>318</v>
      </c>
      <c r="C54" s="6">
        <v>9.7009646879724812E-2</v>
      </c>
      <c r="D54" s="6">
        <v>5</v>
      </c>
      <c r="E54" s="6">
        <v>1</v>
      </c>
      <c r="F54" s="6">
        <v>688.97368421052636</v>
      </c>
      <c r="G54" s="6">
        <v>334.18546907343097</v>
      </c>
      <c r="H54" s="6" t="s">
        <v>377</v>
      </c>
      <c r="I54" s="6" t="s">
        <v>305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4.9199875070746998E-5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</row>
    <row r="55" spans="1:93" s="7" customFormat="1" x14ac:dyDescent="0.2">
      <c r="A55" s="6" t="s">
        <v>345</v>
      </c>
      <c r="B55" s="6" t="s">
        <v>345</v>
      </c>
      <c r="C55" s="6">
        <v>0.15983344377687209</v>
      </c>
      <c r="D55" s="6">
        <v>31</v>
      </c>
      <c r="E55" s="6">
        <v>0.84408602150537637</v>
      </c>
      <c r="F55" s="6">
        <v>8.776315789473685</v>
      </c>
      <c r="G55" s="6">
        <v>36.705259646645331</v>
      </c>
      <c r="H55" s="6" t="s">
        <v>377</v>
      </c>
      <c r="I55" s="6" t="s">
        <v>338</v>
      </c>
      <c r="J55" s="6">
        <v>1.66507959994951E-5</v>
      </c>
      <c r="K55" s="6">
        <v>0</v>
      </c>
      <c r="L55" s="6">
        <v>2.00960174884648E-5</v>
      </c>
      <c r="M55" s="6">
        <v>0</v>
      </c>
      <c r="N55" s="6">
        <v>0</v>
      </c>
      <c r="O55" s="6">
        <v>4.59188496852979E-5</v>
      </c>
      <c r="P55" s="6">
        <v>0</v>
      </c>
      <c r="Q55" s="6">
        <v>0</v>
      </c>
      <c r="R55" s="6">
        <v>4.9172354054420598E-5</v>
      </c>
      <c r="S55" s="6">
        <v>0</v>
      </c>
      <c r="T55" s="6">
        <v>0</v>
      </c>
      <c r="U55" s="6">
        <v>0</v>
      </c>
      <c r="V55" s="6">
        <v>3.3414425605890397E-5</v>
      </c>
      <c r="W55" s="6">
        <v>0</v>
      </c>
      <c r="X55" s="6">
        <v>3.66279826670781E-5</v>
      </c>
      <c r="Y55" s="6">
        <v>0</v>
      </c>
      <c r="Z55" s="6">
        <v>0</v>
      </c>
      <c r="AA55" s="6">
        <v>0</v>
      </c>
      <c r="AB55" s="6">
        <v>2.1944263019827101E-5</v>
      </c>
      <c r="AC55" s="6">
        <v>0</v>
      </c>
      <c r="AD55" s="6">
        <v>0</v>
      </c>
      <c r="AE55" s="6">
        <v>2.5702004778736999E-5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7.7623103042001999E-5</v>
      </c>
      <c r="AZ55" s="6">
        <v>5.6886471945649699E-5</v>
      </c>
      <c r="BA55" s="6">
        <v>3.8330192468921599E-5</v>
      </c>
      <c r="BB55" s="6">
        <v>0</v>
      </c>
      <c r="BC55" s="6">
        <v>0</v>
      </c>
      <c r="BD55" s="6">
        <v>4.48579063579263E-5</v>
      </c>
      <c r="BE55" s="6">
        <v>0</v>
      </c>
      <c r="BF55" s="6">
        <v>0</v>
      </c>
      <c r="BG55" s="6">
        <v>0</v>
      </c>
      <c r="BH55" s="6">
        <v>3.4141924686521598E-5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3.6122183957252403E-5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4.6806266389341703E-5</v>
      </c>
      <c r="CD55" s="6">
        <v>0</v>
      </c>
      <c r="CE55" s="6">
        <v>0</v>
      </c>
      <c r="CF55" s="6">
        <v>3.6026245153078397E-5</v>
      </c>
      <c r="CG55" s="6">
        <v>0</v>
      </c>
      <c r="CH55" s="6">
        <v>0</v>
      </c>
      <c r="CI55" s="6">
        <v>0</v>
      </c>
      <c r="CJ55" s="6">
        <v>4.5631421707039498E-5</v>
      </c>
      <c r="CK55" s="6">
        <v>3.8712837091983598E-5</v>
      </c>
      <c r="CL55" s="6">
        <v>0</v>
      </c>
      <c r="CM55" s="6">
        <v>1.3535178887770499E-4</v>
      </c>
      <c r="CN55" s="6">
        <v>7.9180638589059505E-5</v>
      </c>
    </row>
    <row r="56" spans="1:93" s="7" customFormat="1" x14ac:dyDescent="0.2">
      <c r="A56" s="6"/>
      <c r="B56" s="6"/>
      <c r="C56" s="6"/>
      <c r="D56" s="6"/>
      <c r="E56" s="6"/>
      <c r="F56" s="6"/>
      <c r="G56" s="6"/>
      <c r="H56" s="6"/>
      <c r="I56" s="6"/>
      <c r="J56" s="6">
        <f>SUM(J35:J55)</f>
        <v>1.7774922633445461E-2</v>
      </c>
      <c r="K56" s="6">
        <f t="shared" ref="K56:BV56" si="4">SUM(K35:K55)</f>
        <v>7.8744496246040442E-3</v>
      </c>
      <c r="L56" s="6">
        <f t="shared" si="4"/>
        <v>1.3001349145971099E-2</v>
      </c>
      <c r="M56" s="6">
        <f t="shared" si="4"/>
        <v>1.8987031430482366E-2</v>
      </c>
      <c r="N56" s="6">
        <f t="shared" si="4"/>
        <v>9.0939299698432775E-3</v>
      </c>
      <c r="O56" s="6">
        <f t="shared" si="4"/>
        <v>4.2777971479462011E-3</v>
      </c>
      <c r="P56" s="6">
        <f t="shared" si="4"/>
        <v>1.2189694400351203E-2</v>
      </c>
      <c r="Q56" s="6">
        <f t="shared" si="4"/>
        <v>3.8054371412246306E-3</v>
      </c>
      <c r="R56" s="6">
        <f t="shared" si="4"/>
        <v>3.3795396280846667E-3</v>
      </c>
      <c r="S56" s="6">
        <f t="shared" si="4"/>
        <v>2.1060454497978829E-3</v>
      </c>
      <c r="T56" s="6">
        <f t="shared" si="4"/>
        <v>2.545115000684954E-3</v>
      </c>
      <c r="U56" s="6">
        <f t="shared" si="4"/>
        <v>3.4290754002482787E-3</v>
      </c>
      <c r="V56" s="6">
        <f t="shared" si="4"/>
        <v>2.0541467375786764E-2</v>
      </c>
      <c r="W56" s="6">
        <f t="shared" si="4"/>
        <v>3.5368221812879875E-3</v>
      </c>
      <c r="X56" s="6">
        <f t="shared" si="4"/>
        <v>5.6911239042589214E-3</v>
      </c>
      <c r="Y56" s="6">
        <f t="shared" si="4"/>
        <v>5.8846128524817735E-3</v>
      </c>
      <c r="Z56" s="6">
        <f t="shared" si="4"/>
        <v>9.5152206122345682E-3</v>
      </c>
      <c r="AA56" s="6">
        <f t="shared" si="4"/>
        <v>1.4586621643598691E-2</v>
      </c>
      <c r="AB56" s="6">
        <f t="shared" si="4"/>
        <v>3.2722489623752253E-3</v>
      </c>
      <c r="AC56" s="6">
        <f t="shared" si="4"/>
        <v>1.3374344442414017E-3</v>
      </c>
      <c r="AD56" s="6">
        <f t="shared" si="4"/>
        <v>7.4316231287716583E-3</v>
      </c>
      <c r="AE56" s="6">
        <f t="shared" si="4"/>
        <v>3.7885867799154617E-3</v>
      </c>
      <c r="AF56" s="6">
        <f t="shared" si="4"/>
        <v>1.7087336956596238E-2</v>
      </c>
      <c r="AG56" s="6">
        <f t="shared" si="4"/>
        <v>7.5775188372331128E-3</v>
      </c>
      <c r="AH56" s="6">
        <f t="shared" si="4"/>
        <v>1.2743887124998217E-2</v>
      </c>
      <c r="AI56" s="6">
        <f t="shared" si="4"/>
        <v>5.8617146573861009E-3</v>
      </c>
      <c r="AJ56" s="6">
        <f t="shared" si="4"/>
        <v>2.1342937287784521E-2</v>
      </c>
      <c r="AK56" s="6">
        <f t="shared" si="4"/>
        <v>1.0159161514887455E-2</v>
      </c>
      <c r="AL56" s="6">
        <f t="shared" si="4"/>
        <v>7.8392990571835575E-3</v>
      </c>
      <c r="AM56" s="6">
        <f t="shared" si="4"/>
        <v>4.3882824500164385E-3</v>
      </c>
      <c r="AN56" s="6">
        <f t="shared" si="4"/>
        <v>4.6158729405792161E-3</v>
      </c>
      <c r="AO56" s="6">
        <f t="shared" si="4"/>
        <v>4.7997228782977776E-3</v>
      </c>
      <c r="AP56" s="6">
        <f t="shared" si="4"/>
        <v>7.5420876031576326E-3</v>
      </c>
      <c r="AQ56" s="6">
        <f t="shared" si="4"/>
        <v>5.0590765741082028E-3</v>
      </c>
      <c r="AR56" s="6">
        <f t="shared" si="4"/>
        <v>7.6561405107805382E-3</v>
      </c>
      <c r="AS56" s="6">
        <f t="shared" si="4"/>
        <v>7.2832057386560288E-3</v>
      </c>
      <c r="AT56" s="6">
        <f t="shared" si="4"/>
        <v>8.7634492971635017E-3</v>
      </c>
      <c r="AU56" s="6">
        <f t="shared" si="4"/>
        <v>2.9063594668639332E-3</v>
      </c>
      <c r="AV56" s="6">
        <f t="shared" si="4"/>
        <v>2.8245475972705408E-2</v>
      </c>
      <c r="AW56" s="6">
        <f t="shared" si="4"/>
        <v>3.801532472334882E-3</v>
      </c>
      <c r="AX56" s="6">
        <f t="shared" si="4"/>
        <v>9.8377264744378568E-3</v>
      </c>
      <c r="AY56" s="6">
        <f t="shared" si="4"/>
        <v>2.786114436541871E-2</v>
      </c>
      <c r="AZ56" s="6">
        <f t="shared" si="4"/>
        <v>8.4598315627053521E-3</v>
      </c>
      <c r="BA56" s="6">
        <f t="shared" si="4"/>
        <v>6.9395074497394455E-3</v>
      </c>
      <c r="BB56" s="6">
        <f t="shared" si="4"/>
        <v>1.1507627415394552E-2</v>
      </c>
      <c r="BC56" s="6">
        <f t="shared" si="4"/>
        <v>9.5829594128265857E-3</v>
      </c>
      <c r="BD56" s="6">
        <f t="shared" si="4"/>
        <v>1.0278143132884688E-2</v>
      </c>
      <c r="BE56" s="6">
        <f t="shared" si="4"/>
        <v>1.3312965246996534E-2</v>
      </c>
      <c r="BF56" s="6">
        <f t="shared" si="4"/>
        <v>1.7641418253981401E-2</v>
      </c>
      <c r="BG56" s="6">
        <f t="shared" si="4"/>
        <v>7.1591808726561767E-3</v>
      </c>
      <c r="BH56" s="6">
        <f t="shared" si="4"/>
        <v>6.3765883045237672E-3</v>
      </c>
      <c r="BI56" s="6">
        <f t="shared" si="4"/>
        <v>3.0999277945265261E-2</v>
      </c>
      <c r="BJ56" s="6">
        <f t="shared" si="4"/>
        <v>6.0807789164742734E-3</v>
      </c>
      <c r="BK56" s="6">
        <f t="shared" si="4"/>
        <v>1.0309157632361666E-2</v>
      </c>
      <c r="BL56" s="6">
        <f t="shared" si="4"/>
        <v>5.9497875820852648E-4</v>
      </c>
      <c r="BM56" s="6">
        <f t="shared" si="4"/>
        <v>8.0683347823278413E-3</v>
      </c>
      <c r="BN56" s="6">
        <f t="shared" si="4"/>
        <v>1.0192022267674723E-2</v>
      </c>
      <c r="BO56" s="6">
        <f t="shared" si="4"/>
        <v>1.3122066744896665E-2</v>
      </c>
      <c r="BP56" s="6">
        <f t="shared" si="4"/>
        <v>6.6491243044129317E-3</v>
      </c>
      <c r="BQ56" s="6">
        <f t="shared" si="4"/>
        <v>8.6310883880792236E-3</v>
      </c>
      <c r="BR56" s="6">
        <f t="shared" si="4"/>
        <v>7.757456370114095E-3</v>
      </c>
      <c r="BS56" s="6">
        <f t="shared" si="4"/>
        <v>7.7575429893251002E-3</v>
      </c>
      <c r="BT56" s="6">
        <f t="shared" si="4"/>
        <v>9.0350931956899392E-3</v>
      </c>
      <c r="BU56" s="6">
        <f t="shared" si="4"/>
        <v>4.0570033870002816E-3</v>
      </c>
      <c r="BV56" s="6">
        <f t="shared" si="4"/>
        <v>8.7981467570376753E-3</v>
      </c>
      <c r="BW56" s="6">
        <f t="shared" ref="BW56:CN56" si="5">SUM(BW35:BW55)</f>
        <v>1.6764875523278745E-2</v>
      </c>
      <c r="BX56" s="6">
        <f t="shared" si="5"/>
        <v>6.0317757922164345E-3</v>
      </c>
      <c r="BY56" s="6">
        <f t="shared" si="5"/>
        <v>6.1192024507911542E-3</v>
      </c>
      <c r="BZ56" s="6">
        <f t="shared" si="5"/>
        <v>3.478276244615918E-3</v>
      </c>
      <c r="CA56" s="6">
        <f t="shared" si="5"/>
        <v>2.2336293210047358E-3</v>
      </c>
      <c r="CB56" s="6">
        <f t="shared" si="5"/>
        <v>7.9294900781777117E-3</v>
      </c>
      <c r="CC56" s="6">
        <f t="shared" si="5"/>
        <v>6.8281327036591802E-3</v>
      </c>
      <c r="CD56" s="6">
        <f t="shared" si="5"/>
        <v>1.1233956605943795E-3</v>
      </c>
      <c r="CE56" s="6">
        <f t="shared" si="5"/>
        <v>4.4575409100433352E-3</v>
      </c>
      <c r="CF56" s="6">
        <f t="shared" si="5"/>
        <v>7.386772592968039E-3</v>
      </c>
      <c r="CG56" s="6">
        <f t="shared" si="5"/>
        <v>6.0513616529605987E-3</v>
      </c>
      <c r="CH56" s="6">
        <f t="shared" si="5"/>
        <v>1.2751028515221448E-2</v>
      </c>
      <c r="CI56" s="6">
        <f t="shared" si="5"/>
        <v>5.7741433063616503E-3</v>
      </c>
      <c r="CJ56" s="6">
        <f t="shared" si="5"/>
        <v>1.0579378479405254E-2</v>
      </c>
      <c r="CK56" s="6">
        <f t="shared" si="5"/>
        <v>1.5111234532426967E-2</v>
      </c>
      <c r="CL56" s="6">
        <f t="shared" si="5"/>
        <v>1.7711942316426716E-2</v>
      </c>
      <c r="CM56" s="6">
        <f t="shared" si="5"/>
        <v>1.052719771470601E-2</v>
      </c>
      <c r="CN56" s="6">
        <f t="shared" si="5"/>
        <v>1.0689525115331061E-2</v>
      </c>
      <c r="CO56" s="7">
        <f>AVERAGE(J56:CN56)</f>
        <v>9.0877262414336378E-3</v>
      </c>
    </row>
    <row r="57" spans="1:93" s="7" customFormat="1" x14ac:dyDescent="0.2">
      <c r="A57" s="6"/>
      <c r="B57" s="6"/>
      <c r="C57" s="6"/>
      <c r="D57" s="6"/>
      <c r="E57" s="6"/>
      <c r="F57" s="6"/>
      <c r="G57" s="6"/>
      <c r="H57" s="6"/>
      <c r="I57" s="17" t="s">
        <v>414</v>
      </c>
      <c r="J57" s="6">
        <f>COUNTIF(J35:J55,"&gt;0")</f>
        <v>12</v>
      </c>
      <c r="K57" s="6">
        <f t="shared" ref="K57:BV57" si="6">COUNTIF(K35:K55,"&gt;0")</f>
        <v>9</v>
      </c>
      <c r="L57" s="6">
        <f t="shared" si="6"/>
        <v>12</v>
      </c>
      <c r="M57" s="6">
        <f t="shared" si="6"/>
        <v>10</v>
      </c>
      <c r="N57" s="6">
        <f t="shared" si="6"/>
        <v>9</v>
      </c>
      <c r="O57" s="6">
        <f t="shared" si="6"/>
        <v>9</v>
      </c>
      <c r="P57" s="6">
        <f t="shared" si="6"/>
        <v>7</v>
      </c>
      <c r="Q57" s="6">
        <f t="shared" si="6"/>
        <v>6</v>
      </c>
      <c r="R57" s="6">
        <f t="shared" si="6"/>
        <v>8</v>
      </c>
      <c r="S57" s="6">
        <f t="shared" si="6"/>
        <v>7</v>
      </c>
      <c r="T57" s="6">
        <f t="shared" si="6"/>
        <v>6</v>
      </c>
      <c r="U57" s="6">
        <f t="shared" si="6"/>
        <v>12</v>
      </c>
      <c r="V57" s="6">
        <f t="shared" si="6"/>
        <v>8</v>
      </c>
      <c r="W57" s="6">
        <f t="shared" si="6"/>
        <v>9</v>
      </c>
      <c r="X57" s="6">
        <f t="shared" si="6"/>
        <v>14</v>
      </c>
      <c r="Y57" s="6">
        <f t="shared" si="6"/>
        <v>9</v>
      </c>
      <c r="Z57" s="6">
        <f t="shared" si="6"/>
        <v>9</v>
      </c>
      <c r="AA57" s="6">
        <f t="shared" si="6"/>
        <v>12</v>
      </c>
      <c r="AB57" s="6">
        <f t="shared" si="6"/>
        <v>8</v>
      </c>
      <c r="AC57" s="6">
        <f t="shared" si="6"/>
        <v>7</v>
      </c>
      <c r="AD57" s="6">
        <f t="shared" si="6"/>
        <v>8</v>
      </c>
      <c r="AE57" s="6">
        <f t="shared" si="6"/>
        <v>9</v>
      </c>
      <c r="AF57" s="6">
        <f t="shared" si="6"/>
        <v>10</v>
      </c>
      <c r="AG57" s="6">
        <f t="shared" si="6"/>
        <v>9</v>
      </c>
      <c r="AH57" s="6">
        <f t="shared" si="6"/>
        <v>10</v>
      </c>
      <c r="AI57" s="6">
        <f t="shared" si="6"/>
        <v>8</v>
      </c>
      <c r="AJ57" s="6">
        <f t="shared" si="6"/>
        <v>9</v>
      </c>
      <c r="AK57" s="6">
        <f t="shared" si="6"/>
        <v>9</v>
      </c>
      <c r="AL57" s="6">
        <f t="shared" si="6"/>
        <v>10</v>
      </c>
      <c r="AM57" s="6">
        <f t="shared" si="6"/>
        <v>6</v>
      </c>
      <c r="AN57" s="6">
        <f t="shared" si="6"/>
        <v>7</v>
      </c>
      <c r="AO57" s="6">
        <f t="shared" si="6"/>
        <v>9</v>
      </c>
      <c r="AP57" s="6">
        <f t="shared" si="6"/>
        <v>7</v>
      </c>
      <c r="AQ57" s="6">
        <f t="shared" si="6"/>
        <v>7</v>
      </c>
      <c r="AR57" s="6">
        <f t="shared" si="6"/>
        <v>5</v>
      </c>
      <c r="AS57" s="6">
        <f t="shared" si="6"/>
        <v>6</v>
      </c>
      <c r="AT57" s="6">
        <f t="shared" si="6"/>
        <v>8</v>
      </c>
      <c r="AU57" s="6">
        <f t="shared" si="6"/>
        <v>11</v>
      </c>
      <c r="AV57" s="6">
        <f t="shared" si="6"/>
        <v>4</v>
      </c>
      <c r="AW57" s="6">
        <f t="shared" si="6"/>
        <v>8</v>
      </c>
      <c r="AX57" s="6">
        <f t="shared" si="6"/>
        <v>8</v>
      </c>
      <c r="AY57" s="6">
        <f t="shared" si="6"/>
        <v>11</v>
      </c>
      <c r="AZ57" s="6">
        <f t="shared" si="6"/>
        <v>8</v>
      </c>
      <c r="BA57" s="6">
        <f t="shared" si="6"/>
        <v>9</v>
      </c>
      <c r="BB57" s="6">
        <f t="shared" si="6"/>
        <v>10</v>
      </c>
      <c r="BC57" s="6">
        <f t="shared" si="6"/>
        <v>6</v>
      </c>
      <c r="BD57" s="6">
        <f t="shared" si="6"/>
        <v>6</v>
      </c>
      <c r="BE57" s="6">
        <f t="shared" si="6"/>
        <v>9</v>
      </c>
      <c r="BF57" s="6">
        <f t="shared" si="6"/>
        <v>10</v>
      </c>
      <c r="BG57" s="6">
        <f t="shared" si="6"/>
        <v>7</v>
      </c>
      <c r="BH57" s="6">
        <f t="shared" si="6"/>
        <v>12</v>
      </c>
      <c r="BI57" s="6">
        <f t="shared" si="6"/>
        <v>10</v>
      </c>
      <c r="BJ57" s="6">
        <f t="shared" si="6"/>
        <v>7</v>
      </c>
      <c r="BK57" s="6">
        <f t="shared" si="6"/>
        <v>7</v>
      </c>
      <c r="BL57" s="6">
        <f t="shared" si="6"/>
        <v>7</v>
      </c>
      <c r="BM57" s="6">
        <f t="shared" si="6"/>
        <v>6</v>
      </c>
      <c r="BN57" s="6">
        <f t="shared" si="6"/>
        <v>12</v>
      </c>
      <c r="BO57" s="6">
        <f t="shared" si="6"/>
        <v>10</v>
      </c>
      <c r="BP57" s="6">
        <f t="shared" si="6"/>
        <v>9</v>
      </c>
      <c r="BQ57" s="6">
        <f t="shared" si="6"/>
        <v>8</v>
      </c>
      <c r="BR57" s="6">
        <f t="shared" si="6"/>
        <v>6</v>
      </c>
      <c r="BS57" s="6">
        <f t="shared" si="6"/>
        <v>7</v>
      </c>
      <c r="BT57" s="6">
        <f t="shared" si="6"/>
        <v>8</v>
      </c>
      <c r="BU57" s="6">
        <f t="shared" si="6"/>
        <v>7</v>
      </c>
      <c r="BV57" s="6">
        <f t="shared" si="6"/>
        <v>9</v>
      </c>
      <c r="BW57" s="6">
        <f t="shared" ref="BW57:CN57" si="7">COUNTIF(BW35:BW55,"&gt;0")</f>
        <v>6</v>
      </c>
      <c r="BX57" s="6">
        <f t="shared" si="7"/>
        <v>6</v>
      </c>
      <c r="BY57" s="6">
        <f t="shared" si="7"/>
        <v>6</v>
      </c>
      <c r="BZ57" s="6">
        <f t="shared" si="7"/>
        <v>10</v>
      </c>
      <c r="CA57" s="6">
        <f t="shared" si="7"/>
        <v>6</v>
      </c>
      <c r="CB57" s="6">
        <f t="shared" si="7"/>
        <v>7</v>
      </c>
      <c r="CC57" s="6">
        <f t="shared" si="7"/>
        <v>10</v>
      </c>
      <c r="CD57" s="6">
        <f t="shared" si="7"/>
        <v>6</v>
      </c>
      <c r="CE57" s="6">
        <f t="shared" si="7"/>
        <v>10</v>
      </c>
      <c r="CF57" s="6">
        <f t="shared" si="7"/>
        <v>10</v>
      </c>
      <c r="CG57" s="6">
        <f t="shared" si="7"/>
        <v>7</v>
      </c>
      <c r="CH57" s="6">
        <f t="shared" si="7"/>
        <v>8</v>
      </c>
      <c r="CI57" s="6">
        <f t="shared" si="7"/>
        <v>9</v>
      </c>
      <c r="CJ57" s="6">
        <f t="shared" si="7"/>
        <v>11</v>
      </c>
      <c r="CK57" s="6">
        <f t="shared" si="7"/>
        <v>10</v>
      </c>
      <c r="CL57" s="6">
        <f t="shared" si="7"/>
        <v>10</v>
      </c>
      <c r="CM57" s="6">
        <f t="shared" si="7"/>
        <v>7</v>
      </c>
      <c r="CN57" s="6">
        <f t="shared" si="7"/>
        <v>5</v>
      </c>
      <c r="CO57" s="7">
        <f>AVERAGE(J57:CN57)</f>
        <v>8.3855421686746983</v>
      </c>
    </row>
    <row r="58" spans="1:93" s="9" customFormat="1" x14ac:dyDescent="0.2">
      <c r="A58" s="8" t="s">
        <v>94</v>
      </c>
      <c r="B58" s="8" t="s">
        <v>94</v>
      </c>
      <c r="C58" s="8">
        <v>3.2302258156514741E-3</v>
      </c>
      <c r="D58" s="8">
        <v>68</v>
      </c>
      <c r="E58" s="8">
        <v>0.77815699658703075</v>
      </c>
      <c r="F58" s="8">
        <v>56.10526315789474</v>
      </c>
      <c r="G58" s="8">
        <v>9.5898679423185289</v>
      </c>
      <c r="H58" s="8" t="s">
        <v>379</v>
      </c>
      <c r="I58" s="8" t="s">
        <v>88</v>
      </c>
      <c r="J58" s="8">
        <v>6.0376092173228095E-4</v>
      </c>
      <c r="K58" s="8">
        <v>0</v>
      </c>
      <c r="L58" s="8">
        <v>0</v>
      </c>
      <c r="M58" s="8">
        <v>0</v>
      </c>
      <c r="N58" s="8">
        <v>8.6245808940971797E-5</v>
      </c>
      <c r="O58" s="8">
        <v>0</v>
      </c>
      <c r="P58" s="8">
        <v>4.28222024150844E-4</v>
      </c>
      <c r="Q58" s="8">
        <v>6.1846481887632801E-5</v>
      </c>
      <c r="R58" s="8">
        <v>1.14699889629608E-4</v>
      </c>
      <c r="S58" s="8">
        <v>9.0713307071114396E-5</v>
      </c>
      <c r="T58" s="8">
        <v>7.6437592511135194E-5</v>
      </c>
      <c r="U58" s="8">
        <v>0</v>
      </c>
      <c r="V58" s="8">
        <v>0</v>
      </c>
      <c r="W58" s="8">
        <v>0</v>
      </c>
      <c r="X58" s="8">
        <v>1.85851897718604E-4</v>
      </c>
      <c r="Y58" s="8">
        <v>0</v>
      </c>
      <c r="Z58" s="8">
        <v>0</v>
      </c>
      <c r="AA58" s="8">
        <v>1.6425136975699501E-4</v>
      </c>
      <c r="AB58" s="8">
        <v>1.00162002815045E-4</v>
      </c>
      <c r="AC58" s="8">
        <v>1.5236387172318301E-5</v>
      </c>
      <c r="AD58" s="8">
        <v>0</v>
      </c>
      <c r="AE58" s="8">
        <v>2.6455440670010698E-4</v>
      </c>
      <c r="AF58" s="8">
        <v>0</v>
      </c>
      <c r="AG58" s="8">
        <v>0</v>
      </c>
      <c r="AH58" s="8">
        <v>4.1849859085528701E-4</v>
      </c>
      <c r="AI58" s="8">
        <v>0</v>
      </c>
      <c r="AJ58" s="8">
        <v>0</v>
      </c>
      <c r="AK58" s="8">
        <v>2.8848683562383398E-4</v>
      </c>
      <c r="AL58" s="8">
        <v>2.2515106210451301E-4</v>
      </c>
      <c r="AM58" s="8">
        <v>0</v>
      </c>
      <c r="AN58" s="8">
        <v>0</v>
      </c>
      <c r="AO58" s="8">
        <v>0</v>
      </c>
      <c r="AP58" s="8">
        <v>0</v>
      </c>
      <c r="AQ58" s="8">
        <v>2.4478567553455399E-4</v>
      </c>
      <c r="AR58" s="8">
        <v>2.7212221666635502E-4</v>
      </c>
      <c r="AS58" s="8">
        <v>2.6216396696364998E-4</v>
      </c>
      <c r="AT58" s="8">
        <v>2.0263385186133201E-4</v>
      </c>
      <c r="AU58" s="8">
        <v>1.64304705003083E-4</v>
      </c>
      <c r="AV58" s="8">
        <v>1.6967349277365899E-3</v>
      </c>
      <c r="AW58" s="8">
        <v>1.49627699918462E-4</v>
      </c>
      <c r="AX58" s="8">
        <v>3.6551819464461901E-4</v>
      </c>
      <c r="AY58" s="8">
        <v>3.8351115448930302E-5</v>
      </c>
      <c r="AZ58" s="8">
        <v>5.6943348258745995E-4</v>
      </c>
      <c r="BA58" s="8">
        <v>1.90142412554387E-4</v>
      </c>
      <c r="BB58" s="8">
        <v>4.1850148175112201E-4</v>
      </c>
      <c r="BC58" s="8">
        <v>4.3515802799885101E-4</v>
      </c>
      <c r="BD58" s="8">
        <v>4.1560905395378003E-4</v>
      </c>
      <c r="BE58" s="8">
        <v>8.0234841680301401E-4</v>
      </c>
      <c r="BF58" s="8">
        <v>1.0239270115768499E-3</v>
      </c>
      <c r="BG58" s="8">
        <v>5.8544755958320704E-4</v>
      </c>
      <c r="BH58" s="8">
        <v>4.0594481623770198E-4</v>
      </c>
      <c r="BI58" s="8">
        <v>0</v>
      </c>
      <c r="BJ58" s="8">
        <v>3.6773164117667002E-4</v>
      </c>
      <c r="BK58" s="8">
        <v>3.0306375507300099E-4</v>
      </c>
      <c r="BL58" s="8">
        <v>0</v>
      </c>
      <c r="BM58" s="8">
        <v>7.8610941912075503E-4</v>
      </c>
      <c r="BN58" s="8">
        <v>0</v>
      </c>
      <c r="BO58" s="8">
        <v>3.2385603912653803E-4</v>
      </c>
      <c r="BP58" s="8">
        <v>2.8197720407165198E-4</v>
      </c>
      <c r="BQ58" s="8">
        <v>3.3385970092473599E-4</v>
      </c>
      <c r="BR58" s="8">
        <v>2.7900115425759299E-4</v>
      </c>
      <c r="BS58" s="8">
        <v>3.4479820798040899E-4</v>
      </c>
      <c r="BT58" s="8">
        <v>6.05410571209606E-4</v>
      </c>
      <c r="BU58" s="8">
        <v>0</v>
      </c>
      <c r="BV58" s="8">
        <v>4.3154491144531599E-4</v>
      </c>
      <c r="BW58" s="8">
        <v>6.2145687949832198E-4</v>
      </c>
      <c r="BX58" s="8">
        <v>0</v>
      </c>
      <c r="BY58" s="8">
        <v>0</v>
      </c>
      <c r="BZ58" s="8">
        <v>6.1744886977760903E-5</v>
      </c>
      <c r="CA58" s="8">
        <v>7.0210812686536102E-5</v>
      </c>
      <c r="CB58" s="8">
        <v>3.7710561588531099E-4</v>
      </c>
      <c r="CC58" s="8">
        <v>4.68187700068293E-4</v>
      </c>
      <c r="CD58" s="8">
        <v>0</v>
      </c>
      <c r="CE58" s="8">
        <v>0</v>
      </c>
      <c r="CF58" s="8">
        <v>2.7873724293280201E-4</v>
      </c>
      <c r="CG58" s="8">
        <v>3.8032335893717199E-4</v>
      </c>
      <c r="CH58" s="8">
        <v>4.4097706234673601E-4</v>
      </c>
      <c r="CI58" s="8">
        <v>1.7844689681819999E-4</v>
      </c>
      <c r="CJ58" s="8">
        <v>3.6356410634366898E-4</v>
      </c>
      <c r="CK58" s="8">
        <v>7.6122843045022199E-4</v>
      </c>
      <c r="CL58" s="8">
        <v>9.3997650843688301E-4</v>
      </c>
      <c r="CM58" s="8">
        <v>5.4213444319234805E-4</v>
      </c>
      <c r="CN58" s="8">
        <v>0</v>
      </c>
    </row>
    <row r="59" spans="1:93" s="9" customFormat="1" x14ac:dyDescent="0.2">
      <c r="A59" s="8" t="s">
        <v>100</v>
      </c>
      <c r="B59" s="8" t="s">
        <v>100</v>
      </c>
      <c r="C59" s="8">
        <v>2.4760591757177703E-3</v>
      </c>
      <c r="D59" s="8">
        <v>17</v>
      </c>
      <c r="E59" s="8">
        <v>0.7142857142857143</v>
      </c>
      <c r="F59" s="8">
        <v>56.10526315789474</v>
      </c>
      <c r="G59" s="8">
        <v>1.6868851271562946</v>
      </c>
      <c r="H59" s="8" t="s">
        <v>379</v>
      </c>
      <c r="I59" s="8" t="s">
        <v>88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1.9022561637962E-5</v>
      </c>
      <c r="T59" s="8">
        <v>0</v>
      </c>
      <c r="U59" s="8">
        <v>2.54822633691086E-5</v>
      </c>
      <c r="V59" s="8">
        <v>0</v>
      </c>
      <c r="W59" s="8">
        <v>0</v>
      </c>
      <c r="X59" s="8">
        <v>0</v>
      </c>
      <c r="Y59" s="8">
        <v>1.72153556828297E-5</v>
      </c>
      <c r="Z59" s="8">
        <v>4.7766233795976397E-5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7.97862401785504E-5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1.9036188648350699E-4</v>
      </c>
      <c r="BN59" s="8">
        <v>0</v>
      </c>
      <c r="BO59" s="8">
        <v>1.78633126718344E-4</v>
      </c>
      <c r="BP59" s="8">
        <v>0</v>
      </c>
      <c r="BQ59" s="8">
        <v>0</v>
      </c>
      <c r="BR59" s="8">
        <v>0</v>
      </c>
      <c r="BS59" s="8">
        <v>0</v>
      </c>
      <c r="BT59" s="8">
        <v>2.57332713773203E-5</v>
      </c>
      <c r="BU59" s="8">
        <v>0</v>
      </c>
      <c r="BV59" s="8">
        <v>0</v>
      </c>
      <c r="BW59" s="8">
        <v>0</v>
      </c>
      <c r="BX59" s="8">
        <v>2.4331618586290099E-5</v>
      </c>
      <c r="BY59" s="8">
        <v>0</v>
      </c>
      <c r="BZ59" s="8">
        <v>1.6006043763447201E-5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8.2314055631572894E-6</v>
      </c>
      <c r="CL59" s="8">
        <v>0</v>
      </c>
      <c r="CM59" s="8">
        <v>0</v>
      </c>
      <c r="CN59" s="8">
        <v>0</v>
      </c>
    </row>
    <row r="60" spans="1:93" s="9" customFormat="1" x14ac:dyDescent="0.2">
      <c r="A60" s="8" t="s">
        <v>109</v>
      </c>
      <c r="B60" s="8" t="s">
        <v>109</v>
      </c>
      <c r="C60" s="8">
        <v>3.2962867526526524E-2</v>
      </c>
      <c r="D60" s="8">
        <v>11</v>
      </c>
      <c r="E60" s="8">
        <v>0.75</v>
      </c>
      <c r="F60" s="8">
        <v>56.10526315789474</v>
      </c>
      <c r="G60" s="8">
        <v>15.257470445370396</v>
      </c>
      <c r="H60" s="8" t="s">
        <v>379</v>
      </c>
      <c r="I60" s="8" t="s">
        <v>88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5.2743992380910201E-4</v>
      </c>
      <c r="P60" s="8">
        <v>1.82330364425215E-3</v>
      </c>
      <c r="Q60" s="8">
        <v>4.0414015156328101E-4</v>
      </c>
      <c r="R60" s="8">
        <v>0</v>
      </c>
      <c r="S60" s="8">
        <v>0</v>
      </c>
      <c r="T60" s="8">
        <v>1.42764753563137E-4</v>
      </c>
      <c r="U60" s="8">
        <v>6.0045435632582903E-4</v>
      </c>
      <c r="V60" s="8">
        <v>3.2107315823564301E-3</v>
      </c>
      <c r="W60" s="8">
        <v>8.18838021003386E-4</v>
      </c>
      <c r="X60" s="8">
        <v>0</v>
      </c>
      <c r="Y60" s="8">
        <v>8.5350682840738303E-4</v>
      </c>
      <c r="Z60" s="8">
        <v>1.2262640602390101E-3</v>
      </c>
      <c r="AA60" s="8">
        <v>0</v>
      </c>
      <c r="AB60" s="8">
        <v>1.4248954510657299E-3</v>
      </c>
      <c r="AC60" s="8">
        <v>0</v>
      </c>
      <c r="AD60" s="8">
        <v>9.59433768612071E-4</v>
      </c>
      <c r="AE60" s="8">
        <v>6.0744225626074605E-4</v>
      </c>
      <c r="AF60" s="8">
        <v>0</v>
      </c>
      <c r="AG60" s="8">
        <v>0</v>
      </c>
      <c r="AH60" s="8">
        <v>1.71873531283747E-3</v>
      </c>
      <c r="AI60" s="8">
        <v>1.0252505241767199E-3</v>
      </c>
      <c r="AJ60" s="8">
        <v>0</v>
      </c>
      <c r="AK60" s="8">
        <v>2.1236698433471299E-3</v>
      </c>
      <c r="AL60" s="8">
        <v>1.1085390591538001E-3</v>
      </c>
      <c r="AM60" s="8">
        <v>5.3603481788604699E-4</v>
      </c>
      <c r="AN60" s="8">
        <v>5.9925270072797802E-4</v>
      </c>
      <c r="AO60" s="8">
        <v>3.9492806740842803E-4</v>
      </c>
      <c r="AP60" s="8">
        <v>8.6128324750409698E-4</v>
      </c>
      <c r="AQ60" s="8">
        <v>0</v>
      </c>
      <c r="AR60" s="8">
        <v>7.4719851483522797E-4</v>
      </c>
      <c r="AS60" s="8">
        <v>8.3638262073936701E-4</v>
      </c>
      <c r="AT60" s="8">
        <v>0</v>
      </c>
      <c r="AU60" s="8">
        <v>5.7406623022868001E-4</v>
      </c>
      <c r="AV60" s="8">
        <v>7.5881341475373299E-4</v>
      </c>
      <c r="AW60" s="8">
        <v>3.4421754275076801E-4</v>
      </c>
      <c r="AX60" s="8">
        <v>1.3035959423966399E-3</v>
      </c>
      <c r="AY60" s="8">
        <v>6.4361032118831103E-3</v>
      </c>
      <c r="AZ60" s="8">
        <v>0</v>
      </c>
      <c r="BA60" s="8">
        <v>7.9762360853756205E-4</v>
      </c>
      <c r="BB60" s="8">
        <v>1.1089143409732699E-3</v>
      </c>
      <c r="BC60" s="8">
        <v>1.04149694409059E-3</v>
      </c>
      <c r="BD60" s="8">
        <v>6.7755881531314705E-4</v>
      </c>
      <c r="BE60" s="8">
        <v>1.1548830304938401E-3</v>
      </c>
      <c r="BF60" s="8">
        <v>1.2326250800114001E-3</v>
      </c>
      <c r="BG60" s="8">
        <v>9.2187492006298504E-4</v>
      </c>
      <c r="BH60" s="8">
        <v>0</v>
      </c>
      <c r="BI60" s="8">
        <v>6.0842913172890899E-4</v>
      </c>
      <c r="BJ60" s="8">
        <v>4.29169648060965E-4</v>
      </c>
      <c r="BK60" s="8">
        <v>7.0305289354610301E-4</v>
      </c>
      <c r="BL60" s="8">
        <v>0</v>
      </c>
      <c r="BM60" s="8">
        <v>1.0673896811430801E-3</v>
      </c>
      <c r="BN60" s="8">
        <v>1.1161614017582799E-3</v>
      </c>
      <c r="BO60" s="8">
        <v>0</v>
      </c>
      <c r="BP60" s="8">
        <v>5.0513911613635101E-4</v>
      </c>
      <c r="BQ60" s="8">
        <v>9.5317797810386096E-4</v>
      </c>
      <c r="BR60" s="8">
        <v>6.9481150327681295E-4</v>
      </c>
      <c r="BS60" s="8">
        <v>1.18396264430971E-3</v>
      </c>
      <c r="BT60" s="8">
        <v>9.6786770739541196E-4</v>
      </c>
      <c r="BU60" s="8">
        <v>6.0095229768670295E-4</v>
      </c>
      <c r="BV60" s="8">
        <v>5.8059862101479296E-4</v>
      </c>
      <c r="BW60" s="8">
        <v>1.62249362846257E-3</v>
      </c>
      <c r="BX60" s="8">
        <v>9.858707916923881E-4</v>
      </c>
      <c r="BY60" s="8">
        <v>0</v>
      </c>
      <c r="BZ60" s="8">
        <v>4.7824892224643001E-4</v>
      </c>
      <c r="CA60" s="8">
        <v>2.96235430499817E-4</v>
      </c>
      <c r="CB60" s="8">
        <v>0</v>
      </c>
      <c r="CC60" s="8">
        <v>6.9450919502886204E-4</v>
      </c>
      <c r="CD60" s="8">
        <v>0</v>
      </c>
      <c r="CE60" s="8">
        <v>1.10188177514532E-3</v>
      </c>
      <c r="CF60" s="8">
        <v>7.0796045548484395E-4</v>
      </c>
      <c r="CG60" s="8">
        <v>7.3527364586845403E-4</v>
      </c>
      <c r="CH60" s="8">
        <v>1.4144122205556799E-3</v>
      </c>
      <c r="CI60" s="8">
        <v>5.4629974777231801E-4</v>
      </c>
      <c r="CJ60" s="8">
        <v>8.7003755648418799E-4</v>
      </c>
      <c r="CK60" s="8">
        <v>2.2177316781649302E-3</v>
      </c>
      <c r="CL60" s="8">
        <v>1.85035475289416E-3</v>
      </c>
      <c r="CM60" s="8">
        <v>8.1224117231935898E-4</v>
      </c>
      <c r="CN60" s="8">
        <v>8.3310741521611803E-4</v>
      </c>
    </row>
    <row r="61" spans="1:93" s="9" customFormat="1" x14ac:dyDescent="0.2">
      <c r="A61" s="8" t="s">
        <v>115</v>
      </c>
      <c r="B61" s="8" t="s">
        <v>115</v>
      </c>
      <c r="C61" s="8">
        <v>2.6180514291045554E-3</v>
      </c>
      <c r="D61" s="8">
        <v>2</v>
      </c>
      <c r="E61" s="8">
        <v>0.15789473684210525</v>
      </c>
      <c r="F61" s="8">
        <v>5251.2286751361162</v>
      </c>
      <c r="G61" s="8">
        <v>4.3414694960510305</v>
      </c>
      <c r="H61" s="8" t="s">
        <v>379</v>
      </c>
      <c r="I61" s="8" t="s">
        <v>382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1.42549270783383E-5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6.6408703259685102E-6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</row>
    <row r="62" spans="1:93" s="9" customFormat="1" x14ac:dyDescent="0.2">
      <c r="A62" s="8" t="s">
        <v>129</v>
      </c>
      <c r="B62" s="8" t="s">
        <v>129</v>
      </c>
      <c r="C62" s="8">
        <v>1.9420543127642745E-3</v>
      </c>
      <c r="D62" s="8">
        <v>20</v>
      </c>
      <c r="E62" s="8">
        <v>0.98795180722891562</v>
      </c>
      <c r="F62" s="8">
        <v>690.19756480754131</v>
      </c>
      <c r="G62" s="8">
        <v>26.485034917180389</v>
      </c>
      <c r="H62" s="8" t="s">
        <v>379</v>
      </c>
      <c r="I62" s="8" t="s">
        <v>305</v>
      </c>
      <c r="J62" s="8">
        <v>0</v>
      </c>
      <c r="K62" s="8">
        <v>7.8609674863605699E-6</v>
      </c>
      <c r="L62" s="8">
        <v>1.0116679695476301E-4</v>
      </c>
      <c r="M62" s="8">
        <v>0</v>
      </c>
      <c r="N62" s="8">
        <v>0</v>
      </c>
      <c r="O62" s="8">
        <v>0</v>
      </c>
      <c r="P62" s="8">
        <v>1.31110658914157E-5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1.0345893416740399E-5</v>
      </c>
      <c r="Y62" s="8">
        <v>1.7651718787018301E-4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1.7814309773356901E-5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3.5344675601614697E-5</v>
      </c>
      <c r="AT62" s="8">
        <v>0</v>
      </c>
      <c r="AU62" s="8">
        <v>0</v>
      </c>
      <c r="AV62" s="8">
        <v>0</v>
      </c>
      <c r="AW62" s="8">
        <v>0</v>
      </c>
      <c r="AX62" s="8">
        <v>9.3335530444200506E-6</v>
      </c>
      <c r="AY62" s="8">
        <v>0</v>
      </c>
      <c r="AZ62" s="8">
        <v>0</v>
      </c>
      <c r="BA62" s="8">
        <v>0</v>
      </c>
      <c r="BB62" s="8">
        <v>0</v>
      </c>
      <c r="BC62" s="8">
        <v>1.21555887911514E-5</v>
      </c>
      <c r="BD62" s="8">
        <v>1.3518857803693599E-5</v>
      </c>
      <c r="BE62" s="8">
        <v>0</v>
      </c>
      <c r="BF62" s="8">
        <v>5.2098113793496098E-5</v>
      </c>
      <c r="BG62" s="8">
        <v>1.57587584966329E-5</v>
      </c>
      <c r="BH62" s="8">
        <v>0</v>
      </c>
      <c r="BI62" s="8">
        <v>1.15065730778564E-4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7.4369009965863896E-6</v>
      </c>
      <c r="BQ62" s="8">
        <v>1.00068179750586E-5</v>
      </c>
      <c r="BR62" s="8">
        <v>0</v>
      </c>
      <c r="BS62" s="8">
        <v>3.9097951180817699E-5</v>
      </c>
      <c r="BT62" s="8">
        <v>0</v>
      </c>
      <c r="BU62" s="8">
        <v>0</v>
      </c>
      <c r="BV62" s="8">
        <v>0</v>
      </c>
      <c r="BW62" s="8">
        <v>3.6647723321750399E-5</v>
      </c>
      <c r="BX62" s="8">
        <v>0</v>
      </c>
      <c r="BY62" s="8">
        <v>0</v>
      </c>
      <c r="BZ62" s="8">
        <v>7.1834322483141804E-6</v>
      </c>
      <c r="CA62" s="8">
        <v>0</v>
      </c>
      <c r="CB62" s="8">
        <v>1.0507659716336499E-5</v>
      </c>
      <c r="CC62" s="8">
        <v>0</v>
      </c>
      <c r="CD62" s="8">
        <v>0</v>
      </c>
      <c r="CE62" s="8">
        <v>0</v>
      </c>
      <c r="CF62" s="8">
        <v>0</v>
      </c>
      <c r="CG62" s="8">
        <v>1.29838054686444E-5</v>
      </c>
      <c r="CH62" s="8">
        <v>1.15781987408598E-5</v>
      </c>
      <c r="CI62" s="8">
        <v>0</v>
      </c>
      <c r="CJ62" s="8">
        <v>1.0676748188674201E-5</v>
      </c>
      <c r="CK62" s="8">
        <v>0</v>
      </c>
      <c r="CL62" s="8">
        <v>0</v>
      </c>
      <c r="CM62" s="8">
        <v>1.9245136687780299E-5</v>
      </c>
      <c r="CN62" s="8">
        <v>0</v>
      </c>
    </row>
    <row r="63" spans="1:93" s="9" customFormat="1" x14ac:dyDescent="0.2">
      <c r="A63" s="8" t="s">
        <v>138</v>
      </c>
      <c r="B63" s="8" t="s">
        <v>138</v>
      </c>
      <c r="C63" s="8">
        <v>9.1221506995414287E-2</v>
      </c>
      <c r="D63" s="8">
        <v>4</v>
      </c>
      <c r="E63" s="8">
        <v>0.75</v>
      </c>
      <c r="F63" s="8">
        <v>56.10526315789474</v>
      </c>
      <c r="G63" s="8">
        <v>15.354019966912361</v>
      </c>
      <c r="H63" s="8" t="s">
        <v>379</v>
      </c>
      <c r="I63" s="8" t="s">
        <v>88</v>
      </c>
      <c r="J63" s="8">
        <v>0</v>
      </c>
      <c r="K63" s="8">
        <v>0</v>
      </c>
      <c r="L63" s="8">
        <v>0</v>
      </c>
      <c r="M63" s="8">
        <v>1.6487317449667401E-4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1.3373743824928399E-4</v>
      </c>
      <c r="W63" s="8">
        <v>0</v>
      </c>
      <c r="X63" s="8">
        <v>0</v>
      </c>
      <c r="Y63" s="8">
        <v>0</v>
      </c>
      <c r="Z63" s="8">
        <v>1.15396862222927E-4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5.0701755893838002E-5</v>
      </c>
      <c r="AG63" s="8">
        <v>6.3916943662431904E-5</v>
      </c>
      <c r="AH63" s="8">
        <v>0</v>
      </c>
      <c r="AI63" s="8">
        <v>0</v>
      </c>
      <c r="AJ63" s="8">
        <v>2.1143895319641602E-3</v>
      </c>
      <c r="AK63" s="8">
        <v>0</v>
      </c>
      <c r="AL63" s="8">
        <v>2.4529912553724401E-5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7.5396120523502902E-5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2.4086461320285001E-5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3.1678747330920398E-5</v>
      </c>
      <c r="CA63" s="8">
        <v>0</v>
      </c>
      <c r="CB63" s="8">
        <v>0</v>
      </c>
      <c r="CC63" s="8">
        <v>9.2576551677224895E-6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</row>
    <row r="64" spans="1:93" s="9" customFormat="1" x14ac:dyDescent="0.2">
      <c r="A64" s="8" t="s">
        <v>149</v>
      </c>
      <c r="B64" s="8" t="s">
        <v>383</v>
      </c>
      <c r="C64" s="8">
        <v>2.0929317189872453E-3</v>
      </c>
      <c r="D64" s="8">
        <v>1</v>
      </c>
      <c r="E64" s="8">
        <v>0.87096774193548387</v>
      </c>
      <c r="F64" s="8">
        <v>4245.855263157895</v>
      </c>
      <c r="G64" s="8">
        <v>7.7396677152027928</v>
      </c>
      <c r="H64" s="8" t="s">
        <v>379</v>
      </c>
      <c r="I64" s="8" t="s">
        <v>382</v>
      </c>
      <c r="J64" s="8">
        <v>0</v>
      </c>
      <c r="K64" s="8">
        <v>0</v>
      </c>
      <c r="L64" s="8">
        <v>1.6707712750748498E-5</v>
      </c>
      <c r="M64" s="8">
        <v>4.09273852947579E-5</v>
      </c>
      <c r="N64" s="8">
        <v>0</v>
      </c>
      <c r="O64" s="8">
        <v>1.4212222565953601E-4</v>
      </c>
      <c r="P64" s="8">
        <v>0</v>
      </c>
      <c r="Q64" s="8">
        <v>1.4154515228392299E-4</v>
      </c>
      <c r="R64" s="8">
        <v>4.8026617445996903E-5</v>
      </c>
      <c r="S64" s="8">
        <v>0</v>
      </c>
      <c r="T64" s="8">
        <v>9.7025301286233795E-5</v>
      </c>
      <c r="U64" s="8">
        <v>0</v>
      </c>
      <c r="V64" s="8">
        <v>3.0804559298837602E-5</v>
      </c>
      <c r="W64" s="8">
        <v>3.8226804897744399E-5</v>
      </c>
      <c r="X64" s="8">
        <v>4.72555693445297E-5</v>
      </c>
      <c r="Y64" s="8">
        <v>3.0035301788055801E-5</v>
      </c>
      <c r="Z64" s="8">
        <v>6.00298143160187E-5</v>
      </c>
      <c r="AA64" s="8">
        <v>3.7488321864259601E-5</v>
      </c>
      <c r="AB64" s="8">
        <v>2.1422295219262701E-5</v>
      </c>
      <c r="AC64" s="8">
        <v>4.5199122139957903E-5</v>
      </c>
      <c r="AD64" s="8">
        <v>6.3824291133833598E-5</v>
      </c>
      <c r="AE64" s="8">
        <v>1.0580324797836099E-4</v>
      </c>
      <c r="AF64" s="8">
        <v>0</v>
      </c>
      <c r="AG64" s="8">
        <v>0</v>
      </c>
      <c r="AH64" s="8">
        <v>9.4108532237069695E-6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3.6029978253757002E-5</v>
      </c>
      <c r="AU64" s="8">
        <v>6.0710806191703097E-5</v>
      </c>
      <c r="AV64" s="8">
        <v>0</v>
      </c>
      <c r="AW64" s="8">
        <v>7.2255681240240006E-5</v>
      </c>
      <c r="AX64" s="8">
        <v>4.47508202472186E-5</v>
      </c>
      <c r="AY64" s="8">
        <v>0</v>
      </c>
      <c r="AZ64" s="8">
        <v>0</v>
      </c>
      <c r="BA64" s="8">
        <v>3.1010587922277603E-5</v>
      </c>
      <c r="BB64" s="8">
        <v>0</v>
      </c>
      <c r="BC64" s="8">
        <v>1.13926826496017E-4</v>
      </c>
      <c r="BD64" s="8">
        <v>0</v>
      </c>
      <c r="BE64" s="8">
        <v>9.3319198485179903E-5</v>
      </c>
      <c r="BF64" s="8">
        <v>4.9985380223252402E-5</v>
      </c>
      <c r="BG64" s="8">
        <v>4.8938877070059298E-5</v>
      </c>
      <c r="BH64" s="8">
        <v>3.72490327624359E-5</v>
      </c>
      <c r="BI64" s="8">
        <v>1.32665500560651E-4</v>
      </c>
      <c r="BJ64" s="8">
        <v>4.4876812254670799E-5</v>
      </c>
      <c r="BK64" s="8">
        <v>3.9729582383143499E-5</v>
      </c>
      <c r="BL64" s="8">
        <v>0</v>
      </c>
      <c r="BM64" s="8">
        <v>0</v>
      </c>
      <c r="BN64" s="8">
        <v>0</v>
      </c>
      <c r="BO64" s="8">
        <v>0</v>
      </c>
      <c r="BP64" s="8">
        <v>3.5493187227475E-5</v>
      </c>
      <c r="BQ64" s="8">
        <v>0</v>
      </c>
      <c r="BR64" s="8">
        <v>0</v>
      </c>
      <c r="BS64" s="8">
        <v>0</v>
      </c>
      <c r="BT64" s="8">
        <v>0</v>
      </c>
      <c r="BU64" s="8">
        <v>3.7078315880262898E-5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9.8111067253509195E-5</v>
      </c>
      <c r="CF64" s="8">
        <v>6.5178295666075002E-5</v>
      </c>
      <c r="CG64" s="8">
        <v>0</v>
      </c>
      <c r="CH64" s="8">
        <v>0</v>
      </c>
      <c r="CI64" s="8">
        <v>1.2313173528789601E-4</v>
      </c>
      <c r="CJ64" s="8">
        <v>6.8910119016993298E-5</v>
      </c>
      <c r="CK64" s="8">
        <v>7.8989433655680605E-5</v>
      </c>
      <c r="CL64" s="8">
        <v>8.97906261295046E-5</v>
      </c>
      <c r="CM64" s="8">
        <v>0</v>
      </c>
      <c r="CN64" s="8">
        <v>2.11093567708543E-4</v>
      </c>
    </row>
    <row r="65" spans="1:93" s="9" customFormat="1" x14ac:dyDescent="0.2">
      <c r="A65" s="8" t="s">
        <v>154</v>
      </c>
      <c r="B65" s="8" t="s">
        <v>154</v>
      </c>
      <c r="C65" s="8">
        <v>1.0949566145073886E-2</v>
      </c>
      <c r="D65" s="8">
        <v>141</v>
      </c>
      <c r="E65" s="8">
        <v>0.88224956063268889</v>
      </c>
      <c r="F65" s="8">
        <v>11.184210526315789</v>
      </c>
      <c r="G65" s="8">
        <v>15.233959907698797</v>
      </c>
      <c r="H65" s="8" t="s">
        <v>379</v>
      </c>
      <c r="I65" s="8" t="s">
        <v>155</v>
      </c>
      <c r="J65" s="8">
        <v>2.8447624056364301E-5</v>
      </c>
      <c r="K65" s="8">
        <v>0</v>
      </c>
      <c r="L65" s="8">
        <v>1.4982007150091101E-4</v>
      </c>
      <c r="M65" s="8">
        <v>5.9854113107851205E-4</v>
      </c>
      <c r="N65" s="8">
        <v>2.10998807108148E-4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1.7868290312713301E-5</v>
      </c>
      <c r="V65" s="8">
        <v>1.2362263605790699E-4</v>
      </c>
      <c r="W65" s="8">
        <v>1.25595766287911E-5</v>
      </c>
      <c r="X65" s="8">
        <v>0</v>
      </c>
      <c r="Y65" s="8">
        <v>3.3351855461503298E-4</v>
      </c>
      <c r="Z65" s="8">
        <v>7.3828322388648097E-5</v>
      </c>
      <c r="AA65" s="8">
        <v>2.3271265445183901E-4</v>
      </c>
      <c r="AB65" s="8">
        <v>0</v>
      </c>
      <c r="AC65" s="8">
        <v>0</v>
      </c>
      <c r="AD65" s="8">
        <v>0</v>
      </c>
      <c r="AE65" s="8">
        <v>4.0636378796953299E-5</v>
      </c>
      <c r="AF65" s="8">
        <v>0</v>
      </c>
      <c r="AG65" s="8">
        <v>5.6008765447663901E-5</v>
      </c>
      <c r="AH65" s="8">
        <v>0</v>
      </c>
      <c r="AI65" s="8">
        <v>0</v>
      </c>
      <c r="AJ65" s="8">
        <v>5.1262289624916799E-4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6.1806193894731404E-4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1.03750213717871E-5</v>
      </c>
      <c r="BG65" s="8">
        <v>1.06234113950984E-5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4.23199357808857E-4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7.1775297289974098E-6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</row>
    <row r="66" spans="1:93" s="9" customFormat="1" x14ac:dyDescent="0.2">
      <c r="A66" s="8" t="s">
        <v>160</v>
      </c>
      <c r="B66" s="8" t="s">
        <v>160</v>
      </c>
      <c r="C66" s="8">
        <v>8.9730900063181157E-3</v>
      </c>
      <c r="D66" s="8">
        <v>4</v>
      </c>
      <c r="E66" s="8">
        <v>0.10256410256410256</v>
      </c>
      <c r="F66" s="8">
        <v>793.1052631578948</v>
      </c>
      <c r="G66" s="8">
        <v>2.9196327839181149</v>
      </c>
      <c r="H66" s="8" t="s">
        <v>379</v>
      </c>
      <c r="I66" s="8" t="s">
        <v>254</v>
      </c>
      <c r="J66" s="8">
        <v>0</v>
      </c>
      <c r="K66" s="8">
        <v>9.4409130970345799E-5</v>
      </c>
      <c r="L66" s="8">
        <v>1.72819203818276E-4</v>
      </c>
      <c r="M66" s="8">
        <v>1.3454110801524199E-5</v>
      </c>
      <c r="N66" s="8">
        <v>1.3401765052111701E-4</v>
      </c>
      <c r="O66" s="8">
        <v>4.7229788416879598E-5</v>
      </c>
      <c r="P66" s="8">
        <v>2.8399062270811101E-4</v>
      </c>
      <c r="Q66" s="8">
        <v>7.3059719419001998E-5</v>
      </c>
      <c r="R66" s="8">
        <v>0</v>
      </c>
      <c r="S66" s="8">
        <v>0</v>
      </c>
      <c r="T66" s="8">
        <v>4.76420016702834E-5</v>
      </c>
      <c r="U66" s="8">
        <v>3.4031727885919398E-5</v>
      </c>
      <c r="V66" s="8">
        <v>3.6423107867377397E-5</v>
      </c>
      <c r="W66" s="8">
        <v>4.2044384587227203E-5</v>
      </c>
      <c r="X66" s="8">
        <v>2.8809916528973499E-5</v>
      </c>
      <c r="Y66" s="8">
        <v>0</v>
      </c>
      <c r="Z66" s="8">
        <v>8.8302703446906705E-5</v>
      </c>
      <c r="AA66" s="8">
        <v>3.9518822872977301E-5</v>
      </c>
      <c r="AB66" s="8">
        <v>1.1080133677043399E-4</v>
      </c>
      <c r="AC66" s="8">
        <v>2.58469319849911E-5</v>
      </c>
      <c r="AD66" s="8">
        <v>0</v>
      </c>
      <c r="AE66" s="8">
        <v>0</v>
      </c>
      <c r="AF66" s="8">
        <v>3.2081450807957201E-4</v>
      </c>
      <c r="AG66" s="8">
        <v>1.1274180925513099E-5</v>
      </c>
      <c r="AH66" s="8">
        <v>7.09350697319839E-4</v>
      </c>
      <c r="AI66" s="8">
        <v>6.1348224757178102E-5</v>
      </c>
      <c r="AJ66" s="8">
        <v>0</v>
      </c>
      <c r="AK66" s="8">
        <v>1.3175860861811499E-4</v>
      </c>
      <c r="AL66" s="8">
        <v>1.1811308146131201E-4</v>
      </c>
      <c r="AM66" s="8">
        <v>1.3727833400949E-4</v>
      </c>
      <c r="AN66" s="8">
        <v>0</v>
      </c>
      <c r="AO66" s="8">
        <v>5.38753370287799E-5</v>
      </c>
      <c r="AP66" s="8">
        <v>1.44882856530276E-4</v>
      </c>
      <c r="AQ66" s="8">
        <v>0</v>
      </c>
      <c r="AR66" s="8">
        <v>2.2456392994823899E-4</v>
      </c>
      <c r="AS66" s="8">
        <v>0</v>
      </c>
      <c r="AT66" s="8">
        <v>0</v>
      </c>
      <c r="AU66" s="8">
        <v>5.0566745135470297E-5</v>
      </c>
      <c r="AV66" s="8">
        <v>4.9006422511681995E-4</v>
      </c>
      <c r="AW66" s="8">
        <v>2.50684798970638E-5</v>
      </c>
      <c r="AX66" s="8">
        <v>3.97758986161503E-4</v>
      </c>
      <c r="AY66" s="8">
        <v>0</v>
      </c>
      <c r="AZ66" s="8">
        <v>2.9831768488911898E-4</v>
      </c>
      <c r="BA66" s="8">
        <v>1.06629408481888E-4</v>
      </c>
      <c r="BB66" s="8">
        <v>0</v>
      </c>
      <c r="BC66" s="8">
        <v>2.0505435623448099E-4</v>
      </c>
      <c r="BD66" s="8">
        <v>0</v>
      </c>
      <c r="BE66" s="8">
        <v>2.0075159292177699E-4</v>
      </c>
      <c r="BF66" s="8">
        <v>1.44843829990071E-4</v>
      </c>
      <c r="BG66" s="8">
        <v>1.73408746934297E-4</v>
      </c>
      <c r="BH66" s="8">
        <v>0</v>
      </c>
      <c r="BI66" s="8">
        <v>0</v>
      </c>
      <c r="BJ66" s="8">
        <v>2.2541924974380201E-5</v>
      </c>
      <c r="BK66" s="8">
        <v>0</v>
      </c>
      <c r="BL66" s="8">
        <v>0</v>
      </c>
      <c r="BM66" s="8">
        <v>0</v>
      </c>
      <c r="BN66" s="8">
        <v>9.0687619070580505E-5</v>
      </c>
      <c r="BO66" s="8">
        <v>1.3142772791383599E-4</v>
      </c>
      <c r="BP66" s="8">
        <v>6.2795713592412005E-5</v>
      </c>
      <c r="BQ66" s="8">
        <v>1.7180270601636701E-4</v>
      </c>
      <c r="BR66" s="8">
        <v>8.28478037502699E-5</v>
      </c>
      <c r="BS66" s="8">
        <v>0</v>
      </c>
      <c r="BT66" s="8">
        <v>1.15983443867102E-4</v>
      </c>
      <c r="BU66" s="8">
        <v>0</v>
      </c>
      <c r="BV66" s="8">
        <v>1.7819560974572599E-4</v>
      </c>
      <c r="BW66" s="8">
        <v>2.3903087430290901E-4</v>
      </c>
      <c r="BX66" s="8">
        <v>1.17389161363277E-4</v>
      </c>
      <c r="BY66" s="8">
        <v>3.4293593845325998E-4</v>
      </c>
      <c r="BZ66" s="8">
        <v>0</v>
      </c>
      <c r="CA66" s="8">
        <v>0</v>
      </c>
      <c r="CB66" s="8">
        <v>1.45155334196777E-4</v>
      </c>
      <c r="CC66" s="8">
        <v>6.05156914660439E-5</v>
      </c>
      <c r="CD66" s="8">
        <v>0</v>
      </c>
      <c r="CE66" s="8">
        <v>1.33657089577392E-4</v>
      </c>
      <c r="CF66" s="8">
        <v>1.3512104645440601E-4</v>
      </c>
      <c r="CG66" s="8">
        <v>7.51730203569414E-5</v>
      </c>
      <c r="CH66" s="8">
        <v>2.05149281375281E-4</v>
      </c>
      <c r="CI66" s="8">
        <v>1.00840270039426E-4</v>
      </c>
      <c r="CJ66" s="8">
        <v>0</v>
      </c>
      <c r="CK66" s="8">
        <v>1.9237516263739799E-4</v>
      </c>
      <c r="CL66" s="8">
        <v>4.2722336854929998E-4</v>
      </c>
      <c r="CM66" s="8">
        <v>6.9053071359327902E-5</v>
      </c>
      <c r="CN66" s="8">
        <v>1.4347360144013901E-4</v>
      </c>
    </row>
    <row r="67" spans="1:93" s="9" customFormat="1" x14ac:dyDescent="0.2">
      <c r="A67" s="8" t="s">
        <v>165</v>
      </c>
      <c r="B67" s="8" t="s">
        <v>165</v>
      </c>
      <c r="C67" s="8">
        <v>1.4100119527710699E-2</v>
      </c>
      <c r="D67" s="8">
        <v>47</v>
      </c>
      <c r="E67" s="8">
        <v>0.94298245614035092</v>
      </c>
      <c r="F67" s="8">
        <v>11.184210526315789</v>
      </c>
      <c r="G67" s="8">
        <v>6.989234282859484</v>
      </c>
      <c r="H67" s="8" t="s">
        <v>379</v>
      </c>
      <c r="I67" s="8" t="s">
        <v>155</v>
      </c>
      <c r="J67" s="8">
        <v>7.6535513436721699E-6</v>
      </c>
      <c r="K67" s="8">
        <v>0</v>
      </c>
      <c r="L67" s="8">
        <v>0</v>
      </c>
      <c r="M67" s="8">
        <v>4.1622101120616603E-4</v>
      </c>
      <c r="N67" s="8">
        <v>7.1834653293183402E-5</v>
      </c>
      <c r="O67" s="8">
        <v>0</v>
      </c>
      <c r="P67" s="8">
        <v>2.1968833632205401E-5</v>
      </c>
      <c r="Q67" s="8">
        <v>0</v>
      </c>
      <c r="R67" s="8">
        <v>1.05719475542699E-5</v>
      </c>
      <c r="S67" s="8">
        <v>0</v>
      </c>
      <c r="T67" s="8">
        <v>0</v>
      </c>
      <c r="U67" s="8">
        <v>0</v>
      </c>
      <c r="V67" s="8">
        <v>3.4516996618563198E-4</v>
      </c>
      <c r="W67" s="8">
        <v>0</v>
      </c>
      <c r="X67" s="8">
        <v>4.3468734819062902E-5</v>
      </c>
      <c r="Y67" s="8">
        <v>3.8031635318652398E-5</v>
      </c>
      <c r="Z67" s="8">
        <v>5.8433782539565903E-5</v>
      </c>
      <c r="AA67" s="8">
        <v>0</v>
      </c>
      <c r="AB67" s="8">
        <v>0</v>
      </c>
      <c r="AC67" s="8">
        <v>0</v>
      </c>
      <c r="AD67" s="8">
        <v>7.8412265184990907E-6</v>
      </c>
      <c r="AE67" s="8">
        <v>1.4138228617636401E-5</v>
      </c>
      <c r="AF67" s="8">
        <v>7.0777627371859301E-5</v>
      </c>
      <c r="AG67" s="8">
        <v>0</v>
      </c>
      <c r="AH67" s="8">
        <v>0</v>
      </c>
      <c r="AI67" s="8">
        <v>1.2425389171155001E-5</v>
      </c>
      <c r="AJ67" s="8">
        <v>0</v>
      </c>
      <c r="AK67" s="8">
        <v>0</v>
      </c>
      <c r="AL67" s="8">
        <v>0</v>
      </c>
      <c r="AM67" s="8">
        <v>1.20891843427176E-5</v>
      </c>
      <c r="AN67" s="8">
        <v>2.2079437244363701E-5</v>
      </c>
      <c r="AO67" s="8">
        <v>0</v>
      </c>
      <c r="AP67" s="8">
        <v>1.4388482734564201E-5</v>
      </c>
      <c r="AQ67" s="8">
        <v>0</v>
      </c>
      <c r="AR67" s="8">
        <v>1.17258139747814E-5</v>
      </c>
      <c r="AS67" s="8">
        <v>0</v>
      </c>
      <c r="AT67" s="8">
        <v>1.0976705185586801E-5</v>
      </c>
      <c r="AU67" s="8">
        <v>0</v>
      </c>
      <c r="AV67" s="8">
        <v>0</v>
      </c>
      <c r="AW67" s="8">
        <v>0</v>
      </c>
      <c r="AX67" s="8">
        <v>2.7749106261432401E-5</v>
      </c>
      <c r="AY67" s="8">
        <v>6.1628840941966895E-4</v>
      </c>
      <c r="AZ67" s="8">
        <v>2.4875796766455098E-5</v>
      </c>
      <c r="BA67" s="8">
        <v>3.3551118275665301E-5</v>
      </c>
      <c r="BB67" s="8">
        <v>6.5108996232523397E-5</v>
      </c>
      <c r="BC67" s="8">
        <v>3.3452763482498201E-5</v>
      </c>
      <c r="BD67" s="8">
        <v>1.03390824818337E-4</v>
      </c>
      <c r="BE67" s="8">
        <v>4.2454721863181199E-5</v>
      </c>
      <c r="BF67" s="8">
        <v>0</v>
      </c>
      <c r="BG67" s="8">
        <v>4.18577615862059E-5</v>
      </c>
      <c r="BH67" s="8">
        <v>9.1236160387970895E-5</v>
      </c>
      <c r="BI67" s="8">
        <v>7.2703279255726302E-5</v>
      </c>
      <c r="BJ67" s="8">
        <v>8.5796782203616504E-6</v>
      </c>
      <c r="BK67" s="8">
        <v>0</v>
      </c>
      <c r="BL67" s="8">
        <v>0</v>
      </c>
      <c r="BM67" s="8">
        <v>5.3528490933906998E-5</v>
      </c>
      <c r="BN67" s="8">
        <v>1.06530017901273E-4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4.8908799173812698E-5</v>
      </c>
      <c r="BV67" s="8">
        <v>0</v>
      </c>
      <c r="BW67" s="8">
        <v>9.7997275117549799E-5</v>
      </c>
      <c r="BX67" s="8">
        <v>1.4513461326033701E-5</v>
      </c>
      <c r="BY67" s="8">
        <v>0</v>
      </c>
      <c r="BZ67" s="8">
        <v>0</v>
      </c>
      <c r="CA67" s="8">
        <v>0</v>
      </c>
      <c r="CB67" s="8">
        <v>1.8597561348204301E-5</v>
      </c>
      <c r="CC67" s="8">
        <v>0</v>
      </c>
      <c r="CD67" s="8">
        <v>4.53100978430736E-5</v>
      </c>
      <c r="CE67" s="8">
        <v>0</v>
      </c>
      <c r="CF67" s="8">
        <v>2.4239295880671099E-4</v>
      </c>
      <c r="CG67" s="8">
        <v>9.9843546729609E-5</v>
      </c>
      <c r="CH67" s="8">
        <v>0</v>
      </c>
      <c r="CI67" s="8">
        <v>0</v>
      </c>
      <c r="CJ67" s="8">
        <v>3.2062693245054602E-5</v>
      </c>
      <c r="CK67" s="8">
        <v>0</v>
      </c>
      <c r="CL67" s="8">
        <v>2.8826240123617599E-5</v>
      </c>
      <c r="CM67" s="8">
        <v>0</v>
      </c>
      <c r="CN67" s="8">
        <v>0</v>
      </c>
    </row>
    <row r="68" spans="1:93" s="9" customFormat="1" x14ac:dyDescent="0.2">
      <c r="A68" s="8" t="s">
        <v>166</v>
      </c>
      <c r="B68" s="8" t="s">
        <v>166</v>
      </c>
      <c r="C68" s="8">
        <v>1.3970880596407716E-2</v>
      </c>
      <c r="D68" s="8">
        <v>56</v>
      </c>
      <c r="E68" s="8">
        <v>0.93055555555555558</v>
      </c>
      <c r="F68" s="8">
        <v>11.184210526315789</v>
      </c>
      <c r="G68" s="8">
        <v>8.142531505494059</v>
      </c>
      <c r="H68" s="8" t="s">
        <v>379</v>
      </c>
      <c r="I68" s="8" t="s">
        <v>155</v>
      </c>
      <c r="J68" s="8">
        <v>0</v>
      </c>
      <c r="K68" s="8">
        <v>5.77547887936173E-5</v>
      </c>
      <c r="L68" s="8">
        <v>0</v>
      </c>
      <c r="M68" s="8">
        <v>3.8729866500327597E-4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1.28563592625478E-5</v>
      </c>
      <c r="AM68" s="8">
        <v>0</v>
      </c>
      <c r="AN68" s="8">
        <v>0</v>
      </c>
      <c r="AO68" s="8">
        <v>0</v>
      </c>
      <c r="AP68" s="8">
        <v>8.0468888027678403E-6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1.30538614829011E-5</v>
      </c>
      <c r="AY68" s="8">
        <v>9.5048222604675596E-4</v>
      </c>
      <c r="AZ68" s="8">
        <v>1.2350769026789999E-5</v>
      </c>
      <c r="BA68" s="8">
        <v>1.22161962237909E-5</v>
      </c>
      <c r="BB68" s="8">
        <v>0</v>
      </c>
      <c r="BC68" s="8">
        <v>0</v>
      </c>
      <c r="BD68" s="8">
        <v>0</v>
      </c>
      <c r="BE68" s="8">
        <v>1.10099665621887E-5</v>
      </c>
      <c r="BF68" s="8">
        <v>0</v>
      </c>
      <c r="BG68" s="8">
        <v>0</v>
      </c>
      <c r="BH68" s="8">
        <v>2.7645789697283799E-5</v>
      </c>
      <c r="BI68" s="8">
        <v>0</v>
      </c>
      <c r="BJ68" s="8">
        <v>0</v>
      </c>
      <c r="BK68" s="8">
        <v>9.3606067411917297E-6</v>
      </c>
      <c r="BL68" s="8">
        <v>0</v>
      </c>
      <c r="BM68" s="8">
        <v>1.6225123082183098E-5</v>
      </c>
      <c r="BN68" s="8">
        <v>0</v>
      </c>
      <c r="BO68" s="8">
        <v>0</v>
      </c>
      <c r="BP68" s="8">
        <v>1.6080183484492701E-5</v>
      </c>
      <c r="BQ68" s="8">
        <v>1.6089183317848699E-5</v>
      </c>
      <c r="BR68" s="8">
        <v>0</v>
      </c>
      <c r="BS68" s="8">
        <v>0</v>
      </c>
      <c r="BT68" s="8">
        <v>0</v>
      </c>
      <c r="BU68" s="8">
        <v>1.58496983069421E-5</v>
      </c>
      <c r="BV68" s="8">
        <v>0</v>
      </c>
      <c r="BW68" s="8">
        <v>0</v>
      </c>
      <c r="BX68" s="8">
        <v>9.3564693658579697E-6</v>
      </c>
      <c r="BY68" s="8">
        <v>3.8970950648262199E-5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2.7009652705849E-5</v>
      </c>
      <c r="CM68" s="8">
        <v>0</v>
      </c>
      <c r="CN68" s="8">
        <v>0</v>
      </c>
    </row>
    <row r="69" spans="1:93" s="9" customFormat="1" x14ac:dyDescent="0.2">
      <c r="A69" s="8" t="s">
        <v>176</v>
      </c>
      <c r="B69" s="8" t="s">
        <v>176</v>
      </c>
      <c r="C69" s="8">
        <v>0.29161425756678738</v>
      </c>
      <c r="D69" s="8">
        <v>95</v>
      </c>
      <c r="E69" s="8">
        <v>0.82098765432098764</v>
      </c>
      <c r="F69" s="8">
        <v>0.85675699999999999</v>
      </c>
      <c r="G69" s="8">
        <v>19.486177166668643</v>
      </c>
      <c r="H69" s="8" t="s">
        <v>379</v>
      </c>
      <c r="I69" s="8" t="s">
        <v>177</v>
      </c>
      <c r="J69" s="8">
        <v>1.8789317277298099E-5</v>
      </c>
      <c r="K69" s="8">
        <v>9.2224646661924004E-5</v>
      </c>
      <c r="L69" s="8">
        <v>2.6956282555860302E-4</v>
      </c>
      <c r="M69" s="8">
        <v>4.2620937664369002E-4</v>
      </c>
      <c r="N69" s="8">
        <v>4.8044424991682802E-4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5.4679054975708904E-4</v>
      </c>
      <c r="W69" s="8">
        <v>0</v>
      </c>
      <c r="X69" s="8">
        <v>0</v>
      </c>
      <c r="Y69" s="8">
        <v>3.9788356451849E-5</v>
      </c>
      <c r="Z69" s="8">
        <v>7.3139502178219099E-5</v>
      </c>
      <c r="AA69" s="8">
        <v>5.5719601276726103E-4</v>
      </c>
      <c r="AB69" s="8">
        <v>1.51697701334406E-4</v>
      </c>
      <c r="AC69" s="8">
        <v>0</v>
      </c>
      <c r="AD69" s="8">
        <v>0</v>
      </c>
      <c r="AE69" s="8">
        <v>0</v>
      </c>
      <c r="AF69" s="8">
        <v>1.88135607453277E-4</v>
      </c>
      <c r="AG69" s="8">
        <v>2.8204733465401902E-4</v>
      </c>
      <c r="AH69" s="8">
        <v>0</v>
      </c>
      <c r="AI69" s="8">
        <v>0</v>
      </c>
      <c r="AJ69" s="8">
        <v>4.8422588324907898E-4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2.4168127310205499E-5</v>
      </c>
      <c r="AQ69" s="8">
        <v>0</v>
      </c>
      <c r="AR69" s="8">
        <v>5.75250493610612E-5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2.1376470509789499E-5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6.4285496135064603E-6</v>
      </c>
      <c r="BT69" s="8">
        <v>0</v>
      </c>
      <c r="BU69" s="8">
        <v>1.4494525411775601E-5</v>
      </c>
      <c r="BV69" s="8">
        <v>0</v>
      </c>
      <c r="BW69" s="8">
        <v>0</v>
      </c>
      <c r="BX69" s="8">
        <v>0</v>
      </c>
      <c r="BY69" s="8">
        <v>0</v>
      </c>
      <c r="BZ69" s="8">
        <v>3.0268785796732298E-5</v>
      </c>
      <c r="CA69" s="8">
        <v>0</v>
      </c>
      <c r="CB69" s="8">
        <v>0</v>
      </c>
      <c r="CC69" s="8">
        <v>0</v>
      </c>
      <c r="CD69" s="8">
        <v>0</v>
      </c>
      <c r="CE69" s="8">
        <v>1.7903378776370001E-5</v>
      </c>
      <c r="CF69" s="8">
        <v>0</v>
      </c>
      <c r="CG69" s="8">
        <v>5.4711421667951698E-6</v>
      </c>
      <c r="CH69" s="8">
        <v>0</v>
      </c>
      <c r="CI69" s="8">
        <v>0</v>
      </c>
      <c r="CJ69" s="8">
        <v>4.3360771418286398E-5</v>
      </c>
      <c r="CK69" s="8">
        <v>0</v>
      </c>
      <c r="CL69" s="8">
        <v>0</v>
      </c>
      <c r="CM69" s="8">
        <v>0</v>
      </c>
      <c r="CN69" s="8">
        <v>0</v>
      </c>
    </row>
    <row r="70" spans="1:93" s="9" customFormat="1" x14ac:dyDescent="0.2">
      <c r="A70" s="8" t="s">
        <v>192</v>
      </c>
      <c r="B70" s="8" t="s">
        <v>192</v>
      </c>
      <c r="C70" s="8">
        <v>6.0305766050284713E-4</v>
      </c>
      <c r="D70" s="8">
        <v>23</v>
      </c>
      <c r="E70" s="8">
        <v>0.74509803921568629</v>
      </c>
      <c r="F70" s="8">
        <v>738.71351400000003</v>
      </c>
      <c r="G70" s="8">
        <v>7.634421593123685</v>
      </c>
      <c r="H70" s="8" t="s">
        <v>379</v>
      </c>
      <c r="I70" s="8" t="s">
        <v>384</v>
      </c>
      <c r="J70" s="8">
        <v>0</v>
      </c>
      <c r="K70" s="8">
        <v>0</v>
      </c>
      <c r="L70" s="8">
        <v>1.40906166621053E-4</v>
      </c>
      <c r="M70" s="8">
        <v>3.9374857947662199E-4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3.1584790457020098E-5</v>
      </c>
      <c r="X70" s="8">
        <v>0</v>
      </c>
      <c r="Y70" s="8">
        <v>0</v>
      </c>
      <c r="Z70" s="8">
        <v>0</v>
      </c>
      <c r="AA70" s="8">
        <v>1.96359085138357E-5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1.10086737174718E-5</v>
      </c>
      <c r="AK70" s="8">
        <v>0</v>
      </c>
      <c r="AL70" s="8">
        <v>1.19346860752125E-5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4.4715593559779901E-5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</row>
    <row r="71" spans="1:93" s="9" customFormat="1" x14ac:dyDescent="0.2">
      <c r="A71" s="8" t="s">
        <v>241</v>
      </c>
      <c r="B71" s="8" t="s">
        <v>241</v>
      </c>
      <c r="C71" s="8">
        <v>15.411640271256006</v>
      </c>
      <c r="D71" s="8">
        <v>11</v>
      </c>
      <c r="E71" s="8">
        <v>0.15454545454545454</v>
      </c>
      <c r="F71" s="8">
        <v>0.85675699999999999</v>
      </c>
      <c r="G71" s="8">
        <v>22.446852162596819</v>
      </c>
      <c r="H71" s="8" t="s">
        <v>379</v>
      </c>
      <c r="I71" s="8" t="s">
        <v>384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</row>
    <row r="72" spans="1:93" s="9" customFormat="1" x14ac:dyDescent="0.2">
      <c r="A72" s="8" t="s">
        <v>271</v>
      </c>
      <c r="B72" s="8" t="s">
        <v>271</v>
      </c>
      <c r="C72" s="8">
        <v>0.12755239109446931</v>
      </c>
      <c r="D72" s="8">
        <v>1</v>
      </c>
      <c r="E72" s="8">
        <v>4.5454545454545456E-2</v>
      </c>
      <c r="F72" s="8">
        <v>870.03947368421052</v>
      </c>
      <c r="G72" s="8">
        <v>5.044346146136121</v>
      </c>
      <c r="H72" s="8" t="s">
        <v>379</v>
      </c>
      <c r="I72" s="8" t="s">
        <v>384</v>
      </c>
      <c r="J72" s="8">
        <v>0</v>
      </c>
      <c r="K72" s="8">
        <v>0</v>
      </c>
      <c r="L72" s="8">
        <v>1.86127695390516E-3</v>
      </c>
      <c r="M72" s="8">
        <v>0</v>
      </c>
      <c r="N72" s="8">
        <v>0</v>
      </c>
      <c r="O72" s="8">
        <v>0</v>
      </c>
      <c r="P72" s="8">
        <v>1.2873451465217601E-3</v>
      </c>
      <c r="Q72" s="8">
        <v>0</v>
      </c>
      <c r="R72" s="8">
        <v>5.32377876951013E-4</v>
      </c>
      <c r="S72" s="8">
        <v>0</v>
      </c>
      <c r="T72" s="8">
        <v>0</v>
      </c>
      <c r="U72" s="8">
        <v>9.4986525070864995E-4</v>
      </c>
      <c r="V72" s="8">
        <v>4.2023672185233902E-4</v>
      </c>
      <c r="W72" s="8">
        <v>0</v>
      </c>
      <c r="X72" s="8">
        <v>0</v>
      </c>
      <c r="Y72" s="8">
        <v>0</v>
      </c>
      <c r="Z72" s="8">
        <v>6.6618829834182603E-4</v>
      </c>
      <c r="AA72" s="8">
        <v>7.2432921111241998E-4</v>
      </c>
      <c r="AB72" s="8">
        <v>1.1024147110590501E-3</v>
      </c>
      <c r="AC72" s="8">
        <v>4.8287642190205E-4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1.1605049574048101E-3</v>
      </c>
      <c r="AJ72" s="8">
        <v>7.7417831069323897E-4</v>
      </c>
      <c r="AK72" s="8">
        <v>1.3076905941779E-3</v>
      </c>
      <c r="AL72" s="8">
        <v>7.0483749656768198E-4</v>
      </c>
      <c r="AM72" s="8">
        <v>6.85387216617337E-4</v>
      </c>
      <c r="AN72" s="8">
        <v>0</v>
      </c>
      <c r="AO72" s="8">
        <v>9.52578993247125E-4</v>
      </c>
      <c r="AP72" s="8">
        <v>0</v>
      </c>
      <c r="AQ72" s="8">
        <v>1.46610137143483E-3</v>
      </c>
      <c r="AR72" s="8">
        <v>0</v>
      </c>
      <c r="AS72" s="8">
        <v>8.24992499239535E-4</v>
      </c>
      <c r="AT72" s="8">
        <v>0</v>
      </c>
      <c r="AU72" s="8">
        <v>0</v>
      </c>
      <c r="AV72" s="8">
        <v>0</v>
      </c>
      <c r="AW72" s="8">
        <v>0</v>
      </c>
      <c r="AX72" s="8">
        <v>2.2162002523908298E-3</v>
      </c>
      <c r="AY72" s="8">
        <v>0</v>
      </c>
      <c r="AZ72" s="8">
        <v>2.50623043708793E-3</v>
      </c>
      <c r="BA72" s="8">
        <v>2.3160397026446501E-3</v>
      </c>
      <c r="BB72" s="8">
        <v>2.6840462803841502E-3</v>
      </c>
      <c r="BC72" s="8">
        <v>0</v>
      </c>
      <c r="BD72" s="8">
        <v>0</v>
      </c>
      <c r="BE72" s="8">
        <v>1.57579239434367E-3</v>
      </c>
      <c r="BF72" s="8">
        <v>2.00483668245566E-3</v>
      </c>
      <c r="BG72" s="8">
        <v>0</v>
      </c>
      <c r="BH72" s="8">
        <v>1.87124218680799E-3</v>
      </c>
      <c r="BI72" s="8">
        <v>1.5552349236085E-3</v>
      </c>
      <c r="BJ72" s="8">
        <v>1.2593139086325099E-3</v>
      </c>
      <c r="BK72" s="8">
        <v>0</v>
      </c>
      <c r="BL72" s="8">
        <v>4.2942171296150302E-4</v>
      </c>
      <c r="BM72" s="8">
        <v>7.3386301362635305E-4</v>
      </c>
      <c r="BN72" s="8">
        <v>0</v>
      </c>
      <c r="BO72" s="8">
        <v>8.0113000901583197E-4</v>
      </c>
      <c r="BP72" s="8">
        <v>0</v>
      </c>
      <c r="BQ72" s="8">
        <v>9.2352573072595405E-4</v>
      </c>
      <c r="BR72" s="8">
        <v>5.7908057904985E-4</v>
      </c>
      <c r="BS72" s="8">
        <v>7.6623502512953798E-4</v>
      </c>
      <c r="BT72" s="8">
        <v>1.5429505230394999E-3</v>
      </c>
      <c r="BU72" s="8">
        <v>8.7118020740919598E-4</v>
      </c>
      <c r="BV72" s="8">
        <v>1.34709740646583E-3</v>
      </c>
      <c r="BW72" s="8">
        <v>7.2785019048724701E-4</v>
      </c>
      <c r="BX72" s="8">
        <v>1.0094457874332201E-3</v>
      </c>
      <c r="BY72" s="8">
        <v>1.6001658586206301E-3</v>
      </c>
      <c r="BZ72" s="8">
        <v>0</v>
      </c>
      <c r="CA72" s="8">
        <v>0</v>
      </c>
      <c r="CB72" s="8">
        <v>4.8344046614738899E-4</v>
      </c>
      <c r="CC72" s="8">
        <v>8.3857517210953402E-4</v>
      </c>
      <c r="CD72" s="8">
        <v>5.7602455885590303E-4</v>
      </c>
      <c r="CE72" s="8">
        <v>7.6914106628972999E-4</v>
      </c>
      <c r="CF72" s="8">
        <v>1.5497762459498201E-3</v>
      </c>
      <c r="CG72" s="8">
        <v>1.6176032097418101E-3</v>
      </c>
      <c r="CH72" s="8">
        <v>1.05436747404574E-3</v>
      </c>
      <c r="CI72" s="8">
        <v>0</v>
      </c>
      <c r="CJ72" s="8">
        <v>1.2991730410223401E-3</v>
      </c>
      <c r="CK72" s="8">
        <v>1.58931506479291E-3</v>
      </c>
      <c r="CL72" s="8">
        <v>0</v>
      </c>
      <c r="CM72" s="8">
        <v>1.3800060806025E-3</v>
      </c>
      <c r="CN72" s="8">
        <v>1.02371484244521E-3</v>
      </c>
    </row>
    <row r="73" spans="1:93" s="9" customFormat="1" x14ac:dyDescent="0.2">
      <c r="A73" s="8" t="s">
        <v>288</v>
      </c>
      <c r="B73" s="8" t="s">
        <v>288</v>
      </c>
      <c r="C73" s="8">
        <v>2.6253436422235879E-4</v>
      </c>
      <c r="D73" s="8">
        <v>17</v>
      </c>
      <c r="E73" s="8">
        <v>0.81720430107526887</v>
      </c>
      <c r="F73" s="8">
        <v>737</v>
      </c>
      <c r="G73" s="8">
        <v>2.6880244274192147</v>
      </c>
      <c r="H73" s="8" t="s">
        <v>379</v>
      </c>
      <c r="I73" s="8" t="s">
        <v>249</v>
      </c>
      <c r="J73" s="8">
        <v>5.8040213324398501E-4</v>
      </c>
      <c r="K73" s="8">
        <v>8.0709006253436495E-4</v>
      </c>
      <c r="L73" s="8">
        <v>2.52979890349205E-3</v>
      </c>
      <c r="M73" s="8">
        <v>1.9593408810640602E-3</v>
      </c>
      <c r="N73" s="8">
        <v>5.2102312574591305E-4</v>
      </c>
      <c r="O73" s="8">
        <v>0</v>
      </c>
      <c r="P73" s="8">
        <v>2.1619019835862601E-3</v>
      </c>
      <c r="Q73" s="8">
        <v>0</v>
      </c>
      <c r="R73" s="8">
        <v>7.1138220950937197E-4</v>
      </c>
      <c r="S73" s="8">
        <v>4.6768021751400702E-4</v>
      </c>
      <c r="T73" s="8">
        <v>4.8575692425939499E-4</v>
      </c>
      <c r="U73" s="8">
        <v>8.3477224316560398E-4</v>
      </c>
      <c r="V73" s="8">
        <v>0</v>
      </c>
      <c r="W73" s="8">
        <v>8.7207131199312695E-4</v>
      </c>
      <c r="X73" s="8">
        <v>9.65103743074763E-4</v>
      </c>
      <c r="Y73" s="8">
        <v>6.59890688167132E-4</v>
      </c>
      <c r="Z73" s="8">
        <v>1.32985411048576E-3</v>
      </c>
      <c r="AA73" s="8">
        <v>0</v>
      </c>
      <c r="AB73" s="8">
        <v>0</v>
      </c>
      <c r="AC73" s="8">
        <v>1.91975585144853E-4</v>
      </c>
      <c r="AD73" s="8">
        <v>1.1472260501662901E-3</v>
      </c>
      <c r="AE73" s="8">
        <v>1.0045140140470599E-3</v>
      </c>
      <c r="AF73" s="8">
        <v>1.6860560193564401E-3</v>
      </c>
      <c r="AG73" s="8">
        <v>0</v>
      </c>
      <c r="AH73" s="8">
        <v>0</v>
      </c>
      <c r="AI73" s="8">
        <v>1.8808969404265101E-3</v>
      </c>
      <c r="AJ73" s="8">
        <v>2.1108141653572898E-3</v>
      </c>
      <c r="AK73" s="8">
        <v>3.1347506420295202E-3</v>
      </c>
      <c r="AL73" s="8">
        <v>9.0122867186280499E-4</v>
      </c>
      <c r="AM73" s="8">
        <v>8.5159872000365301E-4</v>
      </c>
      <c r="AN73" s="8">
        <v>7.6040331234433799E-4</v>
      </c>
      <c r="AO73" s="8">
        <v>7.0987028975369698E-4</v>
      </c>
      <c r="AP73" s="8">
        <v>8.6040316643806595E-4</v>
      </c>
      <c r="AQ73" s="8">
        <v>8.3887065042999396E-4</v>
      </c>
      <c r="AR73" s="8">
        <v>0</v>
      </c>
      <c r="AS73" s="8">
        <v>1.2125593366057101E-3</v>
      </c>
      <c r="AT73" s="8">
        <v>0</v>
      </c>
      <c r="AU73" s="8">
        <v>0</v>
      </c>
      <c r="AV73" s="8">
        <v>0</v>
      </c>
      <c r="AW73" s="8">
        <v>5.3169429448022697E-4</v>
      </c>
      <c r="AX73" s="8">
        <v>1.46536225253418E-3</v>
      </c>
      <c r="AY73" s="8">
        <v>4.8280637954724298E-4</v>
      </c>
      <c r="AZ73" s="8">
        <v>0</v>
      </c>
      <c r="BA73" s="8">
        <v>1.9303230650226399E-3</v>
      </c>
      <c r="BB73" s="8">
        <v>3.79076620327046E-3</v>
      </c>
      <c r="BC73" s="8">
        <v>0</v>
      </c>
      <c r="BD73" s="8">
        <v>2.5398145100239502E-3</v>
      </c>
      <c r="BE73" s="8">
        <v>0</v>
      </c>
      <c r="BF73" s="8">
        <v>4.2907380340035496E-3</v>
      </c>
      <c r="BG73" s="8">
        <v>1.8029388621513399E-3</v>
      </c>
      <c r="BH73" s="8">
        <v>1.72948977999939E-3</v>
      </c>
      <c r="BI73" s="8">
        <v>2.5794196264479702E-3</v>
      </c>
      <c r="BJ73" s="8">
        <v>2.1965849313502501E-3</v>
      </c>
      <c r="BK73" s="8">
        <v>7.2324926338508796E-4</v>
      </c>
      <c r="BL73" s="8">
        <v>5.6914640895268896E-4</v>
      </c>
      <c r="BM73" s="8">
        <v>4.0287934281654798E-3</v>
      </c>
      <c r="BN73" s="8">
        <v>1.32621214281527E-3</v>
      </c>
      <c r="BO73" s="8">
        <v>1.52138104133806E-3</v>
      </c>
      <c r="BP73" s="8">
        <v>1.31633673100337E-3</v>
      </c>
      <c r="BQ73" s="8">
        <v>0</v>
      </c>
      <c r="BR73" s="8">
        <v>1.5727909444939699E-3</v>
      </c>
      <c r="BS73" s="8">
        <v>2.4562863794766699E-3</v>
      </c>
      <c r="BT73" s="8">
        <v>0</v>
      </c>
      <c r="BU73" s="8">
        <v>2.8913855083334602E-3</v>
      </c>
      <c r="BV73" s="8">
        <v>1.5434515456244E-3</v>
      </c>
      <c r="BW73" s="8">
        <v>4.3616217515426497E-3</v>
      </c>
      <c r="BX73" s="8">
        <v>1.56584222424328E-3</v>
      </c>
      <c r="BY73" s="8">
        <v>0</v>
      </c>
      <c r="BZ73" s="8">
        <v>1.28345604554282E-3</v>
      </c>
      <c r="CA73" s="8">
        <v>3.2071701413961899E-4</v>
      </c>
      <c r="CB73" s="8">
        <v>9.942829679007799E-4</v>
      </c>
      <c r="CC73" s="8">
        <v>1.14485108482687E-3</v>
      </c>
      <c r="CD73" s="8">
        <v>1.22689105464757E-3</v>
      </c>
      <c r="CE73" s="8">
        <v>2.0829459468228598E-3</v>
      </c>
      <c r="CF73" s="8">
        <v>2.1461891748354401E-3</v>
      </c>
      <c r="CG73" s="8">
        <v>3.2440609110190202E-3</v>
      </c>
      <c r="CH73" s="8">
        <v>3.0165532767712998E-3</v>
      </c>
      <c r="CI73" s="8">
        <v>1.3576724332675901E-3</v>
      </c>
      <c r="CJ73" s="8">
        <v>2.22039888206697E-3</v>
      </c>
      <c r="CK73" s="8">
        <v>2.4010765154381299E-3</v>
      </c>
      <c r="CL73" s="8">
        <v>2.5648147346301201E-3</v>
      </c>
      <c r="CM73" s="8">
        <v>1.1498839177927201E-3</v>
      </c>
      <c r="CN73" s="8">
        <v>1.53548649123872E-3</v>
      </c>
    </row>
    <row r="74" spans="1:93" s="9" customFormat="1" x14ac:dyDescent="0.2">
      <c r="A74" s="8" t="s">
        <v>339</v>
      </c>
      <c r="B74" s="8" t="s">
        <v>339</v>
      </c>
      <c r="C74" s="8">
        <v>3.4678755826075915E-2</v>
      </c>
      <c r="D74" s="8">
        <v>8</v>
      </c>
      <c r="E74" s="8">
        <v>0.9</v>
      </c>
      <c r="F74" s="8">
        <v>8.776315789473685</v>
      </c>
      <c r="G74" s="8">
        <v>2.1913323286729867</v>
      </c>
      <c r="H74" s="8" t="s">
        <v>379</v>
      </c>
      <c r="I74" s="8" t="s">
        <v>338</v>
      </c>
      <c r="J74" s="8">
        <v>2.28078317191679E-4</v>
      </c>
      <c r="K74" s="8">
        <v>2.6553758430638598E-4</v>
      </c>
      <c r="L74" s="8">
        <v>5.5535923743879698E-4</v>
      </c>
      <c r="M74" s="8">
        <v>0</v>
      </c>
      <c r="N74" s="8">
        <v>6.8206851106773197E-5</v>
      </c>
      <c r="O74" s="8">
        <v>9.2985236500097099E-5</v>
      </c>
      <c r="P74" s="8">
        <v>0</v>
      </c>
      <c r="Q74" s="8">
        <v>1.12063710981675E-4</v>
      </c>
      <c r="R74" s="8">
        <v>1.18275556464448E-4</v>
      </c>
      <c r="S74" s="8">
        <v>7.8914716380277294E-5</v>
      </c>
      <c r="T74" s="8">
        <v>1.2171020670410601E-4</v>
      </c>
      <c r="U74" s="8">
        <v>2.6190150857159303E-4</v>
      </c>
      <c r="V74" s="8">
        <v>5.6834625153659903E-5</v>
      </c>
      <c r="W74" s="8">
        <v>2.335952459938E-4</v>
      </c>
      <c r="X74" s="8">
        <v>0</v>
      </c>
      <c r="Y74" s="8">
        <v>1.1492830456764801E-4</v>
      </c>
      <c r="Z74" s="8">
        <v>2.8364360731745401E-4</v>
      </c>
      <c r="AA74" s="8">
        <v>0</v>
      </c>
      <c r="AB74" s="8">
        <v>0</v>
      </c>
      <c r="AC74" s="8">
        <v>0</v>
      </c>
      <c r="AD74" s="8">
        <v>2.0952459024305801E-4</v>
      </c>
      <c r="AE74" s="8">
        <v>0</v>
      </c>
      <c r="AF74" s="8">
        <v>2.71296380711471E-4</v>
      </c>
      <c r="AG74" s="8">
        <v>8.2267822051857199E-5</v>
      </c>
      <c r="AH74" s="8">
        <v>6.9707097542400203E-4</v>
      </c>
      <c r="AI74" s="8">
        <v>5.2674812696649304E-4</v>
      </c>
      <c r="AJ74" s="8">
        <v>5.5380388748967296E-4</v>
      </c>
      <c r="AK74" s="8">
        <v>9.28130404713984E-4</v>
      </c>
      <c r="AL74" s="8">
        <v>2.9040427148115599E-4</v>
      </c>
      <c r="AM74" s="8">
        <v>0</v>
      </c>
      <c r="AN74" s="8">
        <v>4.9849063068540904E-4</v>
      </c>
      <c r="AO74" s="8">
        <v>1.30193409369213E-4</v>
      </c>
      <c r="AP74" s="8">
        <v>2.15612035707431E-4</v>
      </c>
      <c r="AQ74" s="8">
        <v>1.93806348901864E-4</v>
      </c>
      <c r="AR74" s="8">
        <v>1.6984274488812901E-4</v>
      </c>
      <c r="AS74" s="8">
        <v>4.4496412743152698E-4</v>
      </c>
      <c r="AT74" s="8">
        <v>6.4698319458762296E-5</v>
      </c>
      <c r="AU74" s="8">
        <v>9.7361666740452404E-5</v>
      </c>
      <c r="AV74" s="8">
        <v>0</v>
      </c>
      <c r="AW74" s="8">
        <v>0</v>
      </c>
      <c r="AX74" s="8">
        <v>4.8482499315723502E-4</v>
      </c>
      <c r="AY74" s="8">
        <v>0</v>
      </c>
      <c r="AZ74" s="8">
        <v>8.6302226466811302E-4</v>
      </c>
      <c r="BA74" s="8">
        <v>4.4513321323109799E-4</v>
      </c>
      <c r="BB74" s="8">
        <v>1.37360543327073E-3</v>
      </c>
      <c r="BC74" s="8">
        <v>4.8072643001185003E-4</v>
      </c>
      <c r="BD74" s="8">
        <v>3.2661264899221999E-4</v>
      </c>
      <c r="BE74" s="8">
        <v>4.6642841505883801E-4</v>
      </c>
      <c r="BF74" s="8">
        <v>8.5896011846875204E-4</v>
      </c>
      <c r="BG74" s="8">
        <v>0</v>
      </c>
      <c r="BH74" s="8">
        <v>5.1107778040739905E-4</v>
      </c>
      <c r="BI74" s="8">
        <v>7.8904723081351898E-4</v>
      </c>
      <c r="BJ74" s="8">
        <v>8.6150935946757896E-4</v>
      </c>
      <c r="BK74" s="8">
        <v>0</v>
      </c>
      <c r="BL74" s="8">
        <v>1.08990840066977E-4</v>
      </c>
      <c r="BM74" s="8">
        <v>1.4051315976140899E-3</v>
      </c>
      <c r="BN74" s="8">
        <v>3.07020942100532E-4</v>
      </c>
      <c r="BO74" s="8">
        <v>3.8041006578225001E-4</v>
      </c>
      <c r="BP74" s="8">
        <v>2.3152292469487E-4</v>
      </c>
      <c r="BQ74" s="8">
        <v>4.77869156058494E-4</v>
      </c>
      <c r="BR74" s="8">
        <v>2.98563009668547E-4</v>
      </c>
      <c r="BS74" s="8">
        <v>2.8241190478153099E-4</v>
      </c>
      <c r="BT74" s="8">
        <v>0</v>
      </c>
      <c r="BU74" s="8">
        <v>6.3472850139377197E-4</v>
      </c>
      <c r="BV74" s="8">
        <v>0</v>
      </c>
      <c r="BW74" s="8">
        <v>1.93478182923386E-3</v>
      </c>
      <c r="BX74" s="8">
        <v>0</v>
      </c>
      <c r="BY74" s="8">
        <v>2.73802242008919E-4</v>
      </c>
      <c r="BZ74" s="8">
        <v>3.2326151204634102E-4</v>
      </c>
      <c r="CA74" s="8">
        <v>6.0653797920933499E-5</v>
      </c>
      <c r="CB74" s="8">
        <v>5.0487748061177698E-4</v>
      </c>
      <c r="CC74" s="8">
        <v>3.9268923871923101E-4</v>
      </c>
      <c r="CD74" s="8">
        <v>3.1210807135485498E-4</v>
      </c>
      <c r="CE74" s="8">
        <v>4.2860082236880203E-4</v>
      </c>
      <c r="CF74" s="8">
        <v>4.63787457971882E-4</v>
      </c>
      <c r="CG74" s="8">
        <v>9.4704801905959595E-4</v>
      </c>
      <c r="CH74" s="8">
        <v>4.6442864683969901E-4</v>
      </c>
      <c r="CI74" s="8">
        <v>2.5319026305997499E-4</v>
      </c>
      <c r="CJ74" s="8">
        <v>0</v>
      </c>
      <c r="CK74" s="8">
        <v>5.2781168420688298E-4</v>
      </c>
      <c r="CL74" s="8">
        <v>5.7378871169787402E-4</v>
      </c>
      <c r="CM74" s="8">
        <v>4.3882564515880198E-4</v>
      </c>
      <c r="CN74" s="8">
        <v>0</v>
      </c>
    </row>
    <row r="75" spans="1:93" s="9" customFormat="1" x14ac:dyDescent="0.2">
      <c r="A75" s="8" t="s">
        <v>343</v>
      </c>
      <c r="B75" s="8" t="s">
        <v>343</v>
      </c>
      <c r="C75" s="8">
        <v>3.4350847113355246E-2</v>
      </c>
      <c r="D75" s="8">
        <v>9</v>
      </c>
      <c r="E75" s="8">
        <v>0.93103448275862066</v>
      </c>
      <c r="F75" s="8">
        <v>8.776315789473685</v>
      </c>
      <c r="G75" s="8">
        <v>2.526143217322927</v>
      </c>
      <c r="H75" s="8" t="s">
        <v>379</v>
      </c>
      <c r="I75" s="8" t="s">
        <v>338</v>
      </c>
      <c r="J75" s="8">
        <v>0</v>
      </c>
      <c r="K75" s="8">
        <v>6.5228290995327396E-5</v>
      </c>
      <c r="L75" s="8">
        <v>0</v>
      </c>
      <c r="M75" s="8">
        <v>0</v>
      </c>
      <c r="N75" s="8">
        <v>6.5259388499750795E-5</v>
      </c>
      <c r="O75" s="8">
        <v>4.6033818387010298E-5</v>
      </c>
      <c r="P75" s="8">
        <v>4.8715481562854198E-4</v>
      </c>
      <c r="Q75" s="8">
        <v>0</v>
      </c>
      <c r="R75" s="8">
        <v>2.79017215317331E-5</v>
      </c>
      <c r="S75" s="8">
        <v>2.06286591490672E-5</v>
      </c>
      <c r="T75" s="8">
        <v>0</v>
      </c>
      <c r="U75" s="8">
        <v>0</v>
      </c>
      <c r="V75" s="8">
        <v>4.3382941978536601E-5</v>
      </c>
      <c r="W75" s="8">
        <v>6.0629920671192101E-5</v>
      </c>
      <c r="X75" s="8">
        <v>6.0977273262813598E-5</v>
      </c>
      <c r="Y75" s="8">
        <v>3.3180505641363697E-5</v>
      </c>
      <c r="Z75" s="8">
        <v>1.6225421962748199E-4</v>
      </c>
      <c r="AA75" s="8">
        <v>6.3092247745219805E-5</v>
      </c>
      <c r="AB75" s="8">
        <v>2.1912402666618701E-4</v>
      </c>
      <c r="AC75" s="8">
        <v>0</v>
      </c>
      <c r="AD75" s="8">
        <v>1.2163204259191E-4</v>
      </c>
      <c r="AE75" s="8">
        <v>4.8616422770595702E-5</v>
      </c>
      <c r="AF75" s="8">
        <v>3.2191558290280798E-4</v>
      </c>
      <c r="AG75" s="8">
        <v>0</v>
      </c>
      <c r="AH75" s="8">
        <v>6.3918562599152599E-4</v>
      </c>
      <c r="AI75" s="8">
        <v>5.4249907247943501E-5</v>
      </c>
      <c r="AJ75" s="8">
        <v>5.2869840474570502E-4</v>
      </c>
      <c r="AK75" s="8">
        <v>0</v>
      </c>
      <c r="AL75" s="8">
        <v>2.8034963822309302E-4</v>
      </c>
      <c r="AM75" s="8">
        <v>2.7304548527358299E-5</v>
      </c>
      <c r="AN75" s="8">
        <v>2.8377295328169599E-4</v>
      </c>
      <c r="AO75" s="8">
        <v>0</v>
      </c>
      <c r="AP75" s="8">
        <v>1.4026618981740201E-4</v>
      </c>
      <c r="AQ75" s="8">
        <v>5.800788084122E-5</v>
      </c>
      <c r="AR75" s="8">
        <v>3.88703096198635E-4</v>
      </c>
      <c r="AS75" s="8">
        <v>0</v>
      </c>
      <c r="AT75" s="8">
        <v>2.1893187675931899E-4</v>
      </c>
      <c r="AU75" s="8">
        <v>0</v>
      </c>
      <c r="AV75" s="8">
        <v>1.07852197915969E-3</v>
      </c>
      <c r="AW75" s="8">
        <v>0</v>
      </c>
      <c r="AX75" s="8">
        <v>2.9347560054582001E-4</v>
      </c>
      <c r="AY75" s="8">
        <v>0</v>
      </c>
      <c r="AZ75" s="8">
        <v>2.73775764264895E-4</v>
      </c>
      <c r="BA75" s="8">
        <v>4.4705298599160903E-4</v>
      </c>
      <c r="BB75" s="8">
        <v>6.5927559595595295E-4</v>
      </c>
      <c r="BC75" s="8">
        <v>6.7660468400481397E-4</v>
      </c>
      <c r="BD75" s="8">
        <v>0</v>
      </c>
      <c r="BE75" s="8">
        <v>7.5339719685105103E-4</v>
      </c>
      <c r="BF75" s="8">
        <v>5.5519430165045804E-4</v>
      </c>
      <c r="BG75" s="8">
        <v>3.7032923668120699E-4</v>
      </c>
      <c r="BH75" s="8">
        <v>2.72462664869675E-4</v>
      </c>
      <c r="BI75" s="8">
        <v>0</v>
      </c>
      <c r="BJ75" s="8">
        <v>0</v>
      </c>
      <c r="BK75" s="8">
        <v>2.00997196526601E-4</v>
      </c>
      <c r="BL75" s="8">
        <v>0</v>
      </c>
      <c r="BM75" s="8">
        <v>7.3173697384707099E-4</v>
      </c>
      <c r="BN75" s="8">
        <v>3.3581415634488201E-4</v>
      </c>
      <c r="BO75" s="8">
        <v>2.93493846431646E-4</v>
      </c>
      <c r="BP75" s="8">
        <v>0</v>
      </c>
      <c r="BQ75" s="8">
        <v>3.2360557878012602E-4</v>
      </c>
      <c r="BR75" s="8">
        <v>0</v>
      </c>
      <c r="BS75" s="8">
        <v>3.2299366170639399E-4</v>
      </c>
      <c r="BT75" s="8">
        <v>0</v>
      </c>
      <c r="BU75" s="8">
        <v>2.2724011479602899E-4</v>
      </c>
      <c r="BV75" s="8">
        <v>1.56591072995611E-4</v>
      </c>
      <c r="BW75" s="8">
        <v>9.1123207850402597E-4</v>
      </c>
      <c r="BX75" s="8">
        <v>2.8446379525161498E-4</v>
      </c>
      <c r="BY75" s="8">
        <v>0</v>
      </c>
      <c r="BZ75" s="8">
        <v>1.5978941250846499E-4</v>
      </c>
      <c r="CA75" s="8">
        <v>0</v>
      </c>
      <c r="CB75" s="8">
        <v>2.1947850838930201E-4</v>
      </c>
      <c r="CC75" s="8">
        <v>1.5324277224315901E-4</v>
      </c>
      <c r="CD75" s="8">
        <v>0</v>
      </c>
      <c r="CE75" s="8">
        <v>1.8567609765543901E-4</v>
      </c>
      <c r="CF75" s="8">
        <v>2.2517439263977201E-4</v>
      </c>
      <c r="CG75" s="8">
        <v>1.5026263488151199E-4</v>
      </c>
      <c r="CH75" s="8">
        <v>4.2831373361122802E-4</v>
      </c>
      <c r="CI75" s="8">
        <v>1.11309184261539E-4</v>
      </c>
      <c r="CJ75" s="8">
        <v>0</v>
      </c>
      <c r="CK75" s="8">
        <v>3.2179997053672802E-4</v>
      </c>
      <c r="CL75" s="8">
        <v>0</v>
      </c>
      <c r="CM75" s="8">
        <v>0</v>
      </c>
      <c r="CN75" s="8">
        <v>1.5743815802011599E-4</v>
      </c>
    </row>
    <row r="76" spans="1:93" s="9" customFormat="1" x14ac:dyDescent="0.2">
      <c r="A76" s="8" t="s">
        <v>346</v>
      </c>
      <c r="B76" s="8" t="s">
        <v>346</v>
      </c>
      <c r="C76" s="8">
        <v>3.8638889140518481E-2</v>
      </c>
      <c r="D76" s="8">
        <v>8</v>
      </c>
      <c r="E76" s="8">
        <v>0.93103448275862066</v>
      </c>
      <c r="F76" s="8">
        <v>8.776315789473685</v>
      </c>
      <c r="G76" s="8">
        <v>2.5257631743433664</v>
      </c>
      <c r="H76" s="8" t="s">
        <v>379</v>
      </c>
      <c r="I76" s="8" t="s">
        <v>338</v>
      </c>
      <c r="J76" s="8">
        <v>0</v>
      </c>
      <c r="K76" s="8">
        <v>0</v>
      </c>
      <c r="L76" s="8">
        <v>2.0106292673890399E-5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1.1753710781160401E-5</v>
      </c>
      <c r="V76" s="8">
        <v>0</v>
      </c>
      <c r="W76" s="8">
        <v>0</v>
      </c>
      <c r="X76" s="8">
        <v>0</v>
      </c>
      <c r="Y76" s="8">
        <v>0</v>
      </c>
      <c r="Z76" s="8">
        <v>1.58770934142583E-5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2.7883995244670199E-5</v>
      </c>
      <c r="AG76" s="8">
        <v>0</v>
      </c>
      <c r="AH76" s="8">
        <v>3.04962893794216E-5</v>
      </c>
      <c r="AI76" s="8">
        <v>1.81467977939693E-5</v>
      </c>
      <c r="AJ76" s="8">
        <v>1.0811824810769399E-5</v>
      </c>
      <c r="AK76" s="8">
        <v>2.2366189490430998E-5</v>
      </c>
      <c r="AL76" s="8">
        <v>0</v>
      </c>
      <c r="AM76" s="8">
        <v>0</v>
      </c>
      <c r="AN76" s="8">
        <v>0</v>
      </c>
      <c r="AO76" s="8">
        <v>0</v>
      </c>
      <c r="AP76" s="8">
        <v>8.4088189151362503E-6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2.0307852482407799E-5</v>
      </c>
      <c r="BB76" s="8">
        <v>9.7600040976193102E-5</v>
      </c>
      <c r="BC76" s="8">
        <v>2.86739154292739E-5</v>
      </c>
      <c r="BD76" s="8">
        <v>1.01780364065687E-5</v>
      </c>
      <c r="BE76" s="8">
        <v>0</v>
      </c>
      <c r="BF76" s="8">
        <v>8.7540495400427202E-5</v>
      </c>
      <c r="BG76" s="8">
        <v>0</v>
      </c>
      <c r="BH76" s="8">
        <v>2.2188145238092201E-5</v>
      </c>
      <c r="BI76" s="8">
        <v>3.2042544785731198E-5</v>
      </c>
      <c r="BJ76" s="8">
        <v>3.9473260436660003E-5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9.3492979413203898E-6</v>
      </c>
      <c r="BQ76" s="8">
        <v>0</v>
      </c>
      <c r="BR76" s="8">
        <v>0</v>
      </c>
      <c r="BS76" s="8">
        <v>3.6647976476128902E-5</v>
      </c>
      <c r="BT76" s="8">
        <v>3.2733843369723403E-5</v>
      </c>
      <c r="BU76" s="8">
        <v>0</v>
      </c>
      <c r="BV76" s="8">
        <v>8.7403937941539096E-5</v>
      </c>
      <c r="BW76" s="8">
        <v>0</v>
      </c>
      <c r="BX76" s="8">
        <v>0</v>
      </c>
      <c r="BY76" s="8">
        <v>5.2361852141646297E-5</v>
      </c>
      <c r="BZ76" s="8">
        <v>3.6128672143259403E-5</v>
      </c>
      <c r="CA76" s="8">
        <v>0</v>
      </c>
      <c r="CB76" s="8">
        <v>0</v>
      </c>
      <c r="CC76" s="8">
        <v>2.6166160441316299E-5</v>
      </c>
      <c r="CD76" s="8">
        <v>0</v>
      </c>
      <c r="CE76" s="8">
        <v>0</v>
      </c>
      <c r="CF76" s="8">
        <v>0</v>
      </c>
      <c r="CG76" s="8">
        <v>5.0170103850005597E-5</v>
      </c>
      <c r="CH76" s="8">
        <v>3.1632826548810703E-5</v>
      </c>
      <c r="CI76" s="8">
        <v>1.5484457699835599E-5</v>
      </c>
      <c r="CJ76" s="8">
        <v>0</v>
      </c>
      <c r="CK76" s="8">
        <v>0</v>
      </c>
      <c r="CL76" s="8">
        <v>0</v>
      </c>
      <c r="CM76" s="8">
        <v>0</v>
      </c>
      <c r="CN76" s="8">
        <v>2.5251315024515201E-5</v>
      </c>
    </row>
    <row r="77" spans="1:93" s="9" customFormat="1" x14ac:dyDescent="0.2">
      <c r="A77" s="8" t="s">
        <v>347</v>
      </c>
      <c r="B77" s="8" t="s">
        <v>347</v>
      </c>
      <c r="C77" s="8">
        <v>3.4946631120363475E-2</v>
      </c>
      <c r="D77" s="8">
        <v>8</v>
      </c>
      <c r="E77" s="8">
        <v>0.84375</v>
      </c>
      <c r="F77" s="8">
        <v>8.776315789473685</v>
      </c>
      <c r="G77" s="8">
        <v>2.0702430258112692</v>
      </c>
      <c r="H77" s="8" t="s">
        <v>379</v>
      </c>
      <c r="I77" s="8" t="s">
        <v>338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</row>
    <row r="78" spans="1:93" s="9" customFormat="1" x14ac:dyDescent="0.2">
      <c r="A78" s="8" t="s">
        <v>349</v>
      </c>
      <c r="B78" s="8" t="s">
        <v>349</v>
      </c>
      <c r="C78" s="8">
        <v>3.8365659471813945E-2</v>
      </c>
      <c r="D78" s="8">
        <v>10</v>
      </c>
      <c r="E78" s="8">
        <v>0.61904761904761907</v>
      </c>
      <c r="F78" s="8">
        <v>8.776315789473685</v>
      </c>
      <c r="G78" s="8">
        <v>2.0843899328326989</v>
      </c>
      <c r="H78" s="8" t="s">
        <v>379</v>
      </c>
      <c r="I78" s="8" t="s">
        <v>338</v>
      </c>
      <c r="J78" s="8">
        <v>0</v>
      </c>
      <c r="K78" s="8">
        <v>0</v>
      </c>
      <c r="L78" s="8">
        <v>4.3789803866325698E-6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1.02436327511818E-5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1.04721535134161E-5</v>
      </c>
      <c r="BC78" s="8">
        <v>0</v>
      </c>
      <c r="BD78" s="8">
        <v>0</v>
      </c>
      <c r="BE78" s="8">
        <v>2.03255356678858E-5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8.9896337843356597E-6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1.66163258413543E-5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</row>
    <row r="79" spans="1:93" s="9" customFormat="1" x14ac:dyDescent="0.2">
      <c r="A79" s="8"/>
      <c r="B79" s="8"/>
      <c r="C79" s="8"/>
      <c r="D79" s="8"/>
      <c r="E79" s="8"/>
      <c r="F79" s="8"/>
      <c r="G79" s="8"/>
      <c r="H79" s="8"/>
      <c r="I79" s="8"/>
      <c r="J79" s="8">
        <f>SUM(J58:J78)</f>
        <v>1.4671318648452796E-3</v>
      </c>
      <c r="K79" s="8">
        <f t="shared" ref="K79:BV79" si="8">SUM(K58:K78)</f>
        <v>1.3901054717483259E-3</v>
      </c>
      <c r="L79" s="8">
        <f t="shared" si="8"/>
        <v>5.8219031451008842E-3</v>
      </c>
      <c r="M79" s="8">
        <f t="shared" si="8"/>
        <v>4.4006143150652818E-3</v>
      </c>
      <c r="N79" s="8">
        <f t="shared" si="8"/>
        <v>1.6380305351326853E-3</v>
      </c>
      <c r="O79" s="8">
        <f t="shared" si="8"/>
        <v>8.558109927726251E-4</v>
      </c>
      <c r="P79" s="8">
        <f t="shared" si="8"/>
        <v>6.5069981363712892E-3</v>
      </c>
      <c r="Q79" s="8">
        <f t="shared" si="8"/>
        <v>7.9265521613551386E-4</v>
      </c>
      <c r="R79" s="8">
        <f t="shared" si="8"/>
        <v>1.5632358190864409E-3</v>
      </c>
      <c r="S79" s="8">
        <f t="shared" si="8"/>
        <v>6.7695946175242794E-4</v>
      </c>
      <c r="T79" s="8">
        <f t="shared" si="8"/>
        <v>9.7133677999429045E-4</v>
      </c>
      <c r="U79" s="8">
        <f t="shared" si="8"/>
        <v>2.7361293511205774E-3</v>
      </c>
      <c r="V79" s="8">
        <f t="shared" si="8"/>
        <v>4.9477341287570932E-3</v>
      </c>
      <c r="W79" s="8">
        <f t="shared" si="8"/>
        <v>2.1095500562322879E-3</v>
      </c>
      <c r="X79" s="8">
        <f t="shared" si="8"/>
        <v>1.3418130281654872E-3</v>
      </c>
      <c r="Y79" s="8">
        <f t="shared" si="8"/>
        <v>2.2966127185101294E-3</v>
      </c>
      <c r="Z79" s="8">
        <f t="shared" si="8"/>
        <v>4.2009786103140521E-3</v>
      </c>
      <c r="AA79" s="8">
        <f t="shared" si="8"/>
        <v>1.8382245490848072E-3</v>
      </c>
      <c r="AB79" s="8">
        <f t="shared" si="8"/>
        <v>3.1305175249301148E-3</v>
      </c>
      <c r="AC79" s="8">
        <f t="shared" si="8"/>
        <v>7.6113444834417028E-4</v>
      </c>
      <c r="AD79" s="8">
        <f t="shared" si="8"/>
        <v>2.5094819692656617E-3</v>
      </c>
      <c r="AE79" s="8">
        <f t="shared" si="8"/>
        <v>2.0857049551714596E-3</v>
      </c>
      <c r="AF79" s="8">
        <f t="shared" si="8"/>
        <v>2.9375814770139356E-3</v>
      </c>
      <c r="AG79" s="8">
        <f t="shared" si="8"/>
        <v>5.7530128692003554E-4</v>
      </c>
      <c r="AH79" s="8">
        <f t="shared" si="8"/>
        <v>4.2329919777824342E-3</v>
      </c>
      <c r="AI79" s="8">
        <f t="shared" si="8"/>
        <v>4.7395708679447788E-3</v>
      </c>
      <c r="AJ79" s="8">
        <f t="shared" si="8"/>
        <v>7.1183678880499127E-3</v>
      </c>
      <c r="AK79" s="8">
        <f t="shared" si="8"/>
        <v>7.9368531180009153E-3</v>
      </c>
      <c r="AL79" s="8">
        <f t="shared" si="8"/>
        <v>3.6779442387458454E-3</v>
      </c>
      <c r="AM79" s="8">
        <f t="shared" si="8"/>
        <v>2.2496928213866026E-3</v>
      </c>
      <c r="AN79" s="8">
        <f t="shared" si="8"/>
        <v>2.1639990342837848E-3</v>
      </c>
      <c r="AO79" s="8">
        <f t="shared" si="8"/>
        <v>2.241446096807243E-3</v>
      </c>
      <c r="AP79" s="8">
        <f t="shared" si="8"/>
        <v>2.2774598137599456E-3</v>
      </c>
      <c r="AQ79" s="8">
        <f t="shared" si="8"/>
        <v>2.8015719271424619E-3</v>
      </c>
      <c r="AR79" s="8">
        <f t="shared" si="8"/>
        <v>1.8716813658724285E-3</v>
      </c>
      <c r="AS79" s="8">
        <f t="shared" si="8"/>
        <v>3.6164072265814037E-3</v>
      </c>
      <c r="AT79" s="8">
        <f t="shared" si="8"/>
        <v>5.332707315187571E-4</v>
      </c>
      <c r="AU79" s="8">
        <f t="shared" si="8"/>
        <v>9.4701015329938878E-4</v>
      </c>
      <c r="AV79" s="8">
        <f t="shared" si="8"/>
        <v>4.0241345467668327E-3</v>
      </c>
      <c r="AW79" s="8">
        <f t="shared" si="8"/>
        <v>1.1228636982867609E-3</v>
      </c>
      <c r="AX79" s="8">
        <f t="shared" si="8"/>
        <v>6.6216235628667984E-3</v>
      </c>
      <c r="AY79" s="8">
        <f t="shared" si="8"/>
        <v>9.2622049953763053E-3</v>
      </c>
      <c r="AZ79" s="8">
        <f t="shared" si="8"/>
        <v>4.5693826698005513E-3</v>
      </c>
      <c r="BA79" s="8">
        <f t="shared" si="8"/>
        <v>6.3300301513679758E-3</v>
      </c>
      <c r="BB79" s="8">
        <f t="shared" si="8"/>
        <v>1.0208290526327816E-2</v>
      </c>
      <c r="BC79" s="8">
        <f t="shared" si="8"/>
        <v>3.0272495365395269E-3</v>
      </c>
      <c r="BD79" s="8">
        <f t="shared" si="8"/>
        <v>4.0866827473116964E-3</v>
      </c>
      <c r="BE79" s="8">
        <f t="shared" si="8"/>
        <v>5.1207104690506261E-3</v>
      </c>
      <c r="BF79" s="8">
        <f t="shared" si="8"/>
        <v>1.0311124068945706E-2</v>
      </c>
      <c r="BG79" s="8">
        <f t="shared" si="8"/>
        <v>3.9711781339610321E-3</v>
      </c>
      <c r="BH79" s="8">
        <f t="shared" si="8"/>
        <v>4.9685363564079387E-3</v>
      </c>
      <c r="BI79" s="8">
        <f t="shared" si="8"/>
        <v>5.8988628950579084E-3</v>
      </c>
      <c r="BJ79" s="8">
        <f t="shared" si="8"/>
        <v>5.2297811645740464E-3</v>
      </c>
      <c r="BK79" s="8">
        <f t="shared" si="8"/>
        <v>1.9794532976551284E-3</v>
      </c>
      <c r="BL79" s="8">
        <f t="shared" si="8"/>
        <v>1.1075589619811688E-3</v>
      </c>
      <c r="BM79" s="8">
        <f t="shared" si="8"/>
        <v>9.0131396140164261E-3</v>
      </c>
      <c r="BN79" s="8">
        <f t="shared" si="8"/>
        <v>3.2824262799908176E-3</v>
      </c>
      <c r="BO79" s="8">
        <f t="shared" si="8"/>
        <v>4.0776176754556484E-3</v>
      </c>
      <c r="BP79" s="8">
        <f t="shared" si="8"/>
        <v>2.4661312591485298E-3</v>
      </c>
      <c r="BQ79" s="8">
        <f t="shared" si="8"/>
        <v>3.2099368519024458E-3</v>
      </c>
      <c r="BR79" s="8">
        <f t="shared" si="8"/>
        <v>3.507094994497043E-3</v>
      </c>
      <c r="BS79" s="8">
        <f t="shared" si="8"/>
        <v>5.4388623006547052E-3</v>
      </c>
      <c r="BT79" s="8">
        <f t="shared" si="8"/>
        <v>3.290679360258664E-3</v>
      </c>
      <c r="BU79" s="8">
        <f t="shared" si="8"/>
        <v>5.341817968391953E-3</v>
      </c>
      <c r="BV79" s="8">
        <f t="shared" si="8"/>
        <v>4.3248831052332152E-3</v>
      </c>
      <c r="BW79" s="8">
        <f t="shared" ref="BW79:CN79" si="9">SUM(BW58:BW78)</f>
        <v>1.0553112230470884E-2</v>
      </c>
      <c r="BX79" s="8">
        <f t="shared" si="9"/>
        <v>4.0202029430462978E-3</v>
      </c>
      <c r="BY79" s="8">
        <f t="shared" si="9"/>
        <v>2.3082368418727173E-3</v>
      </c>
      <c r="BZ79" s="8">
        <f t="shared" si="9"/>
        <v>2.4277664606044904E-3</v>
      </c>
      <c r="CA79" s="8">
        <f t="shared" si="9"/>
        <v>7.4781705524690559E-4</v>
      </c>
      <c r="CB79" s="8">
        <f t="shared" si="9"/>
        <v>2.7534455941958763E-3</v>
      </c>
      <c r="CC79" s="8">
        <f t="shared" si="9"/>
        <v>3.7879946700710315E-3</v>
      </c>
      <c r="CD79" s="8">
        <f t="shared" si="9"/>
        <v>2.1603337827014015E-3</v>
      </c>
      <c r="CE79" s="8">
        <f t="shared" si="9"/>
        <v>4.8179172438894222E-3</v>
      </c>
      <c r="CF79" s="8">
        <f t="shared" si="9"/>
        <v>5.8281356707967184E-3</v>
      </c>
      <c r="CG79" s="8">
        <f t="shared" si="9"/>
        <v>7.334829723920913E-3</v>
      </c>
      <c r="CH79" s="8">
        <f t="shared" si="9"/>
        <v>7.0674127208353336E-3</v>
      </c>
      <c r="CI79" s="8">
        <f t="shared" si="9"/>
        <v>2.6863749882067795E-3</v>
      </c>
      <c r="CJ79" s="8">
        <f t="shared" si="9"/>
        <v>4.9081839177861752E-3</v>
      </c>
      <c r="CK79" s="8">
        <f t="shared" si="9"/>
        <v>8.0985593454460398E-3</v>
      </c>
      <c r="CL79" s="8">
        <f t="shared" si="9"/>
        <v>6.5017845951673087E-3</v>
      </c>
      <c r="CM79" s="8">
        <f t="shared" si="9"/>
        <v>4.4113894671128371E-3</v>
      </c>
      <c r="CN79" s="8">
        <f t="shared" si="9"/>
        <v>3.9295653910933611E-3</v>
      </c>
      <c r="CO79" s="9">
        <f>AVERAGE(J79:CN79)</f>
        <v>3.8566160594855725E-3</v>
      </c>
    </row>
    <row r="80" spans="1:93" s="9" customFormat="1" x14ac:dyDescent="0.2">
      <c r="A80" s="8"/>
      <c r="B80" s="8"/>
      <c r="C80" s="8"/>
      <c r="D80" s="8"/>
      <c r="E80" s="8"/>
      <c r="F80" s="8"/>
      <c r="G80" s="8"/>
      <c r="H80" s="8"/>
      <c r="I80" s="18" t="s">
        <v>415</v>
      </c>
      <c r="J80" s="8">
        <f>COUNTIF(J58:J78,"&gt;0")</f>
        <v>6</v>
      </c>
      <c r="K80" s="8">
        <f t="shared" ref="K80:BV80" si="10">COUNTIF(K58:K78,"&gt;0")</f>
        <v>7</v>
      </c>
      <c r="L80" s="8">
        <f t="shared" si="10"/>
        <v>11</v>
      </c>
      <c r="M80" s="8">
        <f t="shared" si="10"/>
        <v>9</v>
      </c>
      <c r="N80" s="8">
        <f t="shared" si="10"/>
        <v>8</v>
      </c>
      <c r="O80" s="8">
        <f t="shared" si="10"/>
        <v>5</v>
      </c>
      <c r="P80" s="8">
        <f t="shared" si="10"/>
        <v>8</v>
      </c>
      <c r="Q80" s="8">
        <f t="shared" si="10"/>
        <v>5</v>
      </c>
      <c r="R80" s="8">
        <f t="shared" si="10"/>
        <v>7</v>
      </c>
      <c r="S80" s="8">
        <f t="shared" si="10"/>
        <v>5</v>
      </c>
      <c r="T80" s="8">
        <f t="shared" si="10"/>
        <v>6</v>
      </c>
      <c r="U80" s="8">
        <f t="shared" si="10"/>
        <v>8</v>
      </c>
      <c r="V80" s="8">
        <f t="shared" si="10"/>
        <v>10</v>
      </c>
      <c r="W80" s="8">
        <f t="shared" si="10"/>
        <v>8</v>
      </c>
      <c r="X80" s="8">
        <f t="shared" si="10"/>
        <v>7</v>
      </c>
      <c r="Y80" s="8">
        <f t="shared" si="10"/>
        <v>10</v>
      </c>
      <c r="Z80" s="8">
        <f t="shared" si="10"/>
        <v>13</v>
      </c>
      <c r="AA80" s="8">
        <f t="shared" si="10"/>
        <v>8</v>
      </c>
      <c r="AB80" s="8">
        <f t="shared" si="10"/>
        <v>7</v>
      </c>
      <c r="AC80" s="8">
        <f t="shared" si="10"/>
        <v>5</v>
      </c>
      <c r="AD80" s="8">
        <f t="shared" si="10"/>
        <v>6</v>
      </c>
      <c r="AE80" s="8">
        <f t="shared" si="10"/>
        <v>7</v>
      </c>
      <c r="AF80" s="8">
        <f t="shared" si="10"/>
        <v>8</v>
      </c>
      <c r="AG80" s="8">
        <f t="shared" si="10"/>
        <v>6</v>
      </c>
      <c r="AH80" s="8">
        <f t="shared" si="10"/>
        <v>8</v>
      </c>
      <c r="AI80" s="8">
        <f t="shared" si="10"/>
        <v>8</v>
      </c>
      <c r="AJ80" s="8">
        <f t="shared" si="10"/>
        <v>10</v>
      </c>
      <c r="AK80" s="8">
        <f t="shared" si="10"/>
        <v>7</v>
      </c>
      <c r="AL80" s="8">
        <f t="shared" si="10"/>
        <v>10</v>
      </c>
      <c r="AM80" s="8">
        <f t="shared" si="10"/>
        <v>6</v>
      </c>
      <c r="AN80" s="8">
        <f t="shared" si="10"/>
        <v>5</v>
      </c>
      <c r="AO80" s="8">
        <f t="shared" si="10"/>
        <v>5</v>
      </c>
      <c r="AP80" s="8">
        <f t="shared" si="10"/>
        <v>9</v>
      </c>
      <c r="AQ80" s="8">
        <f t="shared" si="10"/>
        <v>5</v>
      </c>
      <c r="AR80" s="8">
        <f t="shared" si="10"/>
        <v>7</v>
      </c>
      <c r="AS80" s="8">
        <f t="shared" si="10"/>
        <v>6</v>
      </c>
      <c r="AT80" s="8">
        <f t="shared" si="10"/>
        <v>5</v>
      </c>
      <c r="AU80" s="8">
        <f t="shared" si="10"/>
        <v>5</v>
      </c>
      <c r="AV80" s="8">
        <f t="shared" si="10"/>
        <v>4</v>
      </c>
      <c r="AW80" s="8">
        <f t="shared" si="10"/>
        <v>5</v>
      </c>
      <c r="AX80" s="8">
        <f t="shared" si="10"/>
        <v>11</v>
      </c>
      <c r="AY80" s="8">
        <f t="shared" si="10"/>
        <v>8</v>
      </c>
      <c r="AZ80" s="8">
        <f t="shared" si="10"/>
        <v>8</v>
      </c>
      <c r="BA80" s="8">
        <f t="shared" si="10"/>
        <v>11</v>
      </c>
      <c r="BB80" s="8">
        <f t="shared" si="10"/>
        <v>9</v>
      </c>
      <c r="BC80" s="8">
        <f t="shared" si="10"/>
        <v>9</v>
      </c>
      <c r="BD80" s="8">
        <f t="shared" si="10"/>
        <v>7</v>
      </c>
      <c r="BE80" s="8">
        <f t="shared" si="10"/>
        <v>10</v>
      </c>
      <c r="BF80" s="8">
        <f t="shared" si="10"/>
        <v>11</v>
      </c>
      <c r="BG80" s="8">
        <f t="shared" si="10"/>
        <v>9</v>
      </c>
      <c r="BH80" s="8">
        <f t="shared" si="10"/>
        <v>9</v>
      </c>
      <c r="BI80" s="8">
        <f t="shared" si="10"/>
        <v>9</v>
      </c>
      <c r="BJ80" s="8">
        <f t="shared" si="10"/>
        <v>9</v>
      </c>
      <c r="BK80" s="8">
        <f t="shared" si="10"/>
        <v>6</v>
      </c>
      <c r="BL80" s="8">
        <f t="shared" si="10"/>
        <v>3</v>
      </c>
      <c r="BM80" s="8">
        <f t="shared" si="10"/>
        <v>9</v>
      </c>
      <c r="BN80" s="8">
        <f t="shared" si="10"/>
        <v>6</v>
      </c>
      <c r="BO80" s="8">
        <f t="shared" si="10"/>
        <v>9</v>
      </c>
      <c r="BP80" s="8">
        <f t="shared" si="10"/>
        <v>9</v>
      </c>
      <c r="BQ80" s="8">
        <f t="shared" si="10"/>
        <v>8</v>
      </c>
      <c r="BR80" s="8">
        <f t="shared" si="10"/>
        <v>6</v>
      </c>
      <c r="BS80" s="8">
        <f t="shared" si="10"/>
        <v>9</v>
      </c>
      <c r="BT80" s="8">
        <f t="shared" si="10"/>
        <v>6</v>
      </c>
      <c r="BU80" s="8">
        <f t="shared" si="10"/>
        <v>9</v>
      </c>
      <c r="BV80" s="8">
        <f t="shared" si="10"/>
        <v>7</v>
      </c>
      <c r="BW80" s="8">
        <f t="shared" ref="BW80:CN80" si="11">COUNTIF(BW58:BW78,"&gt;0")</f>
        <v>9</v>
      </c>
      <c r="BX80" s="8">
        <f t="shared" si="11"/>
        <v>9</v>
      </c>
      <c r="BY80" s="8">
        <f t="shared" si="11"/>
        <v>5</v>
      </c>
      <c r="BZ80" s="8">
        <f t="shared" si="11"/>
        <v>10</v>
      </c>
      <c r="CA80" s="8">
        <f t="shared" si="11"/>
        <v>4</v>
      </c>
      <c r="CB80" s="8">
        <f t="shared" si="11"/>
        <v>8</v>
      </c>
      <c r="CC80" s="8">
        <f t="shared" si="11"/>
        <v>9</v>
      </c>
      <c r="CD80" s="8">
        <f t="shared" si="11"/>
        <v>4</v>
      </c>
      <c r="CE80" s="8">
        <f t="shared" si="11"/>
        <v>8</v>
      </c>
      <c r="CF80" s="8">
        <f t="shared" si="11"/>
        <v>11</v>
      </c>
      <c r="CG80" s="8">
        <f t="shared" si="11"/>
        <v>12</v>
      </c>
      <c r="CH80" s="8">
        <f t="shared" si="11"/>
        <v>9</v>
      </c>
      <c r="CI80" s="8">
        <f t="shared" si="11"/>
        <v>8</v>
      </c>
      <c r="CJ80" s="8">
        <f t="shared" si="11"/>
        <v>8</v>
      </c>
      <c r="CK80" s="8">
        <f t="shared" si="11"/>
        <v>9</v>
      </c>
      <c r="CL80" s="8">
        <f t="shared" si="11"/>
        <v>8</v>
      </c>
      <c r="CM80" s="8">
        <f t="shared" si="11"/>
        <v>7</v>
      </c>
      <c r="CN80" s="8">
        <f t="shared" si="11"/>
        <v>7</v>
      </c>
      <c r="CO80" s="9">
        <f>AVERAGE(J80:CN80)</f>
        <v>7.6746987951807233</v>
      </c>
    </row>
    <row r="81" spans="1:93" s="13" customFormat="1" x14ac:dyDescent="0.2">
      <c r="A81" s="12" t="s">
        <v>97</v>
      </c>
      <c r="B81" s="12" t="s">
        <v>97</v>
      </c>
      <c r="C81" s="12">
        <v>2.4782193723322824E-3</v>
      </c>
      <c r="D81" s="12">
        <v>8</v>
      </c>
      <c r="E81" s="12">
        <v>1</v>
      </c>
      <c r="F81" s="12">
        <v>56.10526315789474</v>
      </c>
      <c r="G81" s="12">
        <v>1.1123292003815635</v>
      </c>
      <c r="H81" s="12" t="s">
        <v>380</v>
      </c>
      <c r="I81" s="12" t="s">
        <v>88</v>
      </c>
      <c r="J81" s="12">
        <v>0</v>
      </c>
      <c r="K81" s="12">
        <v>0</v>
      </c>
      <c r="L81" s="12">
        <v>0</v>
      </c>
      <c r="M81" s="12">
        <v>0</v>
      </c>
      <c r="N81" s="12">
        <v>2.2907305090126299E-4</v>
      </c>
      <c r="O81" s="12">
        <v>1.08320086961157E-5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5.7113266547513099E-5</v>
      </c>
      <c r="Z81" s="12">
        <v>3.07783972008509E-5</v>
      </c>
      <c r="AA81" s="12">
        <v>0</v>
      </c>
      <c r="AB81" s="12">
        <v>5.5542573703873502E-5</v>
      </c>
      <c r="AC81" s="12">
        <v>1.2814067282473001E-5</v>
      </c>
      <c r="AD81" s="12">
        <v>0</v>
      </c>
      <c r="AE81" s="12">
        <v>0</v>
      </c>
      <c r="AF81" s="12">
        <v>0</v>
      </c>
      <c r="AG81" s="12">
        <v>7.1001250869522103E-4</v>
      </c>
      <c r="AH81" s="12">
        <v>0</v>
      </c>
      <c r="AI81" s="12">
        <v>0</v>
      </c>
      <c r="AJ81" s="12">
        <v>7.11318329672875E-4</v>
      </c>
      <c r="AK81" s="12">
        <v>4.8688343611458899E-5</v>
      </c>
      <c r="AL81" s="12">
        <v>0</v>
      </c>
      <c r="AM81" s="12">
        <v>0</v>
      </c>
      <c r="AN81" s="12">
        <v>1.38458620402528E-5</v>
      </c>
      <c r="AO81" s="12">
        <v>0</v>
      </c>
      <c r="AP81" s="12">
        <v>5.8356736939469499E-5</v>
      </c>
      <c r="AQ81" s="12">
        <v>0</v>
      </c>
      <c r="AR81" s="12">
        <v>4.38208704440525E-5</v>
      </c>
      <c r="AS81" s="12">
        <v>2.1725711091942399E-5</v>
      </c>
      <c r="AT81" s="12">
        <v>1.3182172789689E-5</v>
      </c>
      <c r="AU81" s="12">
        <v>3.7702053034416701E-5</v>
      </c>
      <c r="AV81" s="12">
        <v>0</v>
      </c>
      <c r="AW81" s="12">
        <v>0</v>
      </c>
      <c r="AX81" s="12">
        <v>0</v>
      </c>
      <c r="AY81" s="12">
        <v>6.3019361692636798E-4</v>
      </c>
      <c r="AZ81" s="12">
        <v>1.62059688574303E-5</v>
      </c>
      <c r="BA81" s="12">
        <v>0</v>
      </c>
      <c r="BB81" s="12">
        <v>0</v>
      </c>
      <c r="BC81" s="12">
        <v>4.10122881461385E-5</v>
      </c>
      <c r="BD81" s="12">
        <v>0</v>
      </c>
      <c r="BE81" s="12">
        <v>0</v>
      </c>
      <c r="BF81" s="12">
        <v>1.06366042255696E-4</v>
      </c>
      <c r="BG81" s="12">
        <v>0</v>
      </c>
      <c r="BH81" s="12">
        <v>1.46055528313797E-4</v>
      </c>
      <c r="BI81" s="12">
        <v>0</v>
      </c>
      <c r="BJ81" s="12">
        <v>9.5046471767837304E-5</v>
      </c>
      <c r="BK81" s="12">
        <v>1.8777120788965899E-5</v>
      </c>
      <c r="BL81" s="12">
        <v>1.0677485737784601E-5</v>
      </c>
      <c r="BM81" s="12">
        <v>1.1708466023202401E-4</v>
      </c>
      <c r="BN81" s="12">
        <v>0</v>
      </c>
      <c r="BO81" s="12">
        <v>0</v>
      </c>
      <c r="BP81" s="12">
        <v>0</v>
      </c>
      <c r="BQ81" s="12">
        <v>5.7867004289124001E-5</v>
      </c>
      <c r="BR81" s="12">
        <v>2.3720563401140099E-5</v>
      </c>
      <c r="BS81" s="12">
        <v>7.7237462968463594E-5</v>
      </c>
      <c r="BT81" s="12">
        <v>0</v>
      </c>
      <c r="BU81" s="12">
        <v>0</v>
      </c>
      <c r="BV81" s="12">
        <v>5.8899010672781499E-5</v>
      </c>
      <c r="BW81" s="12">
        <v>1.52760826703122E-4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1.5640225125271099E-5</v>
      </c>
      <c r="CD81" s="12">
        <v>1.93915265864267E-5</v>
      </c>
      <c r="CE81" s="12">
        <v>2.6555287031843002E-5</v>
      </c>
      <c r="CF81" s="12">
        <v>0</v>
      </c>
      <c r="CG81" s="12">
        <v>0</v>
      </c>
      <c r="CH81" s="12">
        <v>0</v>
      </c>
      <c r="CI81" s="12">
        <v>4.0512495891771E-5</v>
      </c>
      <c r="CJ81" s="12">
        <v>0</v>
      </c>
      <c r="CK81" s="12">
        <v>0</v>
      </c>
      <c r="CL81" s="12">
        <v>0</v>
      </c>
      <c r="CM81" s="12">
        <v>9.3063632478924296E-5</v>
      </c>
      <c r="CN81" s="12">
        <v>1.5973202593559999E-4</v>
      </c>
    </row>
    <row r="82" spans="1:93" s="13" customFormat="1" x14ac:dyDescent="0.2">
      <c r="A82" s="12" t="s">
        <v>107</v>
      </c>
      <c r="B82" s="12" t="s">
        <v>107</v>
      </c>
      <c r="C82" s="12">
        <v>3.3056511905223836E-3</v>
      </c>
      <c r="D82" s="12">
        <v>8</v>
      </c>
      <c r="E82" s="12">
        <v>0.5714285714285714</v>
      </c>
      <c r="F82" s="12">
        <v>56.10526315789474</v>
      </c>
      <c r="G82" s="12">
        <v>0.84783739406841763</v>
      </c>
      <c r="H82" s="12" t="s">
        <v>380</v>
      </c>
      <c r="I82" s="12" t="s">
        <v>88</v>
      </c>
      <c r="J82" s="12">
        <v>2.0923291229339401E-5</v>
      </c>
      <c r="K82" s="12">
        <v>0</v>
      </c>
      <c r="L82" s="12">
        <v>7.2125194943879603E-6</v>
      </c>
      <c r="M82" s="12">
        <v>0</v>
      </c>
      <c r="N82" s="12">
        <v>1.40727508888965E-5</v>
      </c>
      <c r="O82" s="12">
        <v>0</v>
      </c>
      <c r="P82" s="12">
        <v>1.2453459135212299E-4</v>
      </c>
      <c r="Q82" s="12">
        <v>0</v>
      </c>
      <c r="R82" s="12">
        <v>1.08412909542527E-5</v>
      </c>
      <c r="S82" s="12">
        <v>2.9028460232661701E-5</v>
      </c>
      <c r="T82" s="12">
        <v>0</v>
      </c>
      <c r="U82" s="12">
        <v>2.1611355131436699E-5</v>
      </c>
      <c r="V82" s="12">
        <v>0</v>
      </c>
      <c r="W82" s="12">
        <v>1.68158567865568E-5</v>
      </c>
      <c r="X82" s="12">
        <v>0</v>
      </c>
      <c r="Y82" s="12">
        <v>0</v>
      </c>
      <c r="Z82" s="12">
        <v>2.44879257632995E-5</v>
      </c>
      <c r="AA82" s="12">
        <v>6.4932630944366102E-6</v>
      </c>
      <c r="AB82" s="12">
        <v>0</v>
      </c>
      <c r="AC82" s="12">
        <v>0</v>
      </c>
      <c r="AD82" s="12">
        <v>1.8641806683254598E-5</v>
      </c>
      <c r="AE82" s="12">
        <v>0</v>
      </c>
      <c r="AF82" s="12">
        <v>7.1085823678902903E-5</v>
      </c>
      <c r="AG82" s="12">
        <v>7.31167703712795E-5</v>
      </c>
      <c r="AH82" s="12">
        <v>3.90596187548828E-5</v>
      </c>
      <c r="AI82" s="12">
        <v>4.4992901414047198E-5</v>
      </c>
      <c r="AJ82" s="12">
        <v>0</v>
      </c>
      <c r="AK82" s="12">
        <v>0</v>
      </c>
      <c r="AL82" s="12">
        <v>8.2817096419491593E-6</v>
      </c>
      <c r="AM82" s="12">
        <v>3.28756993388183E-5</v>
      </c>
      <c r="AN82" s="12">
        <v>0</v>
      </c>
      <c r="AO82" s="12">
        <v>3.0234514557019601E-5</v>
      </c>
      <c r="AP82" s="12">
        <v>0</v>
      </c>
      <c r="AQ82" s="12">
        <v>6.7818784225979505E-5</v>
      </c>
      <c r="AR82" s="12">
        <v>1.1124717721294899E-5</v>
      </c>
      <c r="AS82" s="12">
        <v>0</v>
      </c>
      <c r="AT82" s="12">
        <v>6.4377780530742006E-5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1.28342649321548E-5</v>
      </c>
      <c r="BB82" s="12">
        <v>1.0818996990834E-5</v>
      </c>
      <c r="BC82" s="12">
        <v>0</v>
      </c>
      <c r="BD82" s="12">
        <v>1.0993627055395501E-5</v>
      </c>
      <c r="BE82" s="12">
        <v>3.7012549396338397E-5</v>
      </c>
      <c r="BF82" s="12">
        <v>1.90439924225387E-5</v>
      </c>
      <c r="BG82" s="12">
        <v>1.26248143364859E-5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1.32717135645623E-5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3.3337421034739899E-5</v>
      </c>
      <c r="BT82" s="12">
        <v>4.6685175956228203E-5</v>
      </c>
      <c r="BU82" s="12">
        <v>7.2572485954827799E-6</v>
      </c>
      <c r="BV82" s="12">
        <v>2.5238410510076701E-5</v>
      </c>
      <c r="BW82" s="12">
        <v>1.3424959988179799E-5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7.3007924111674501E-6</v>
      </c>
      <c r="CF82" s="12">
        <v>2.0765481223907601E-5</v>
      </c>
      <c r="CG82" s="12">
        <v>0</v>
      </c>
      <c r="CH82" s="12">
        <v>0</v>
      </c>
      <c r="CI82" s="12">
        <v>2.1061776505853599E-5</v>
      </c>
      <c r="CJ82" s="12">
        <v>3.3892843010765903E-5</v>
      </c>
      <c r="CK82" s="12">
        <v>0</v>
      </c>
      <c r="CL82" s="12">
        <v>2.1263952820171602E-5</v>
      </c>
      <c r="CM82" s="12">
        <v>1.4129636848037501E-5</v>
      </c>
      <c r="CN82" s="12">
        <v>5.6168393165995903E-5</v>
      </c>
    </row>
    <row r="83" spans="1:93" s="13" customFormat="1" x14ac:dyDescent="0.2">
      <c r="A83" s="12" t="s">
        <v>113</v>
      </c>
      <c r="B83" s="12" t="s">
        <v>113</v>
      </c>
      <c r="C83" s="12">
        <v>1.5034602940914902E-3</v>
      </c>
      <c r="D83" s="12">
        <v>10</v>
      </c>
      <c r="E83" s="12">
        <v>0.7857142857142857</v>
      </c>
      <c r="F83" s="12">
        <v>56.10526315789474</v>
      </c>
      <c r="G83" s="12">
        <v>0.66276599280138404</v>
      </c>
      <c r="H83" s="12" t="s">
        <v>380</v>
      </c>
      <c r="I83" s="12" t="s">
        <v>88</v>
      </c>
      <c r="J83" s="12">
        <v>9.4041597944560899E-3</v>
      </c>
      <c r="K83" s="12">
        <v>1.14957153097618E-2</v>
      </c>
      <c r="L83" s="12">
        <v>2.74196558775134E-2</v>
      </c>
      <c r="M83" s="12">
        <v>4.2522912227918102E-3</v>
      </c>
      <c r="N83" s="12">
        <v>1.1786259532650201E-3</v>
      </c>
      <c r="O83" s="12">
        <v>4.3634298671581103E-3</v>
      </c>
      <c r="P83" s="12">
        <v>3.12067829247436E-2</v>
      </c>
      <c r="Q83" s="12">
        <v>7.9245388705514504E-3</v>
      </c>
      <c r="R83" s="12">
        <v>6.4017395320110403E-3</v>
      </c>
      <c r="S83" s="12">
        <v>0</v>
      </c>
      <c r="T83" s="12">
        <v>3.36210289027332E-3</v>
      </c>
      <c r="U83" s="12">
        <v>9.5990222865507992E-3</v>
      </c>
      <c r="V83" s="12">
        <v>4.3272600974101402E-3</v>
      </c>
      <c r="W83" s="12">
        <v>1.1375251305487499E-2</v>
      </c>
      <c r="X83" s="12">
        <v>6.3471388639817997E-3</v>
      </c>
      <c r="Y83" s="12">
        <v>5.4632868027651299E-3</v>
      </c>
      <c r="Z83" s="12">
        <v>1.6226916448160301E-2</v>
      </c>
      <c r="AA83" s="12">
        <v>5.6299041372608596E-3</v>
      </c>
      <c r="AB83" s="12">
        <v>4.3442719087477101E-3</v>
      </c>
      <c r="AC83" s="12">
        <v>0</v>
      </c>
      <c r="AD83" s="12">
        <v>1.0919455933451E-2</v>
      </c>
      <c r="AE83" s="12">
        <v>1.1173777007616899E-2</v>
      </c>
      <c r="AF83" s="12">
        <v>1.82998698075428E-2</v>
      </c>
      <c r="AG83" s="12">
        <v>0</v>
      </c>
      <c r="AH83" s="12">
        <v>3.0652789301451901E-2</v>
      </c>
      <c r="AI83" s="12">
        <v>1.9037284490996498E-2</v>
      </c>
      <c r="AJ83" s="12">
        <v>0</v>
      </c>
      <c r="AK83" s="12">
        <v>2.16243469127788E-2</v>
      </c>
      <c r="AL83" s="12">
        <v>1.00219677297144E-2</v>
      </c>
      <c r="AM83" s="12">
        <v>1.0236629855668899E-2</v>
      </c>
      <c r="AN83" s="12">
        <v>8.2451773204398598E-3</v>
      </c>
      <c r="AO83" s="12">
        <v>0</v>
      </c>
      <c r="AP83" s="12">
        <v>1.17546039244275E-2</v>
      </c>
      <c r="AQ83" s="12">
        <v>9.8899933595860499E-3</v>
      </c>
      <c r="AR83" s="12">
        <v>1.0966094901894E-2</v>
      </c>
      <c r="AS83" s="12">
        <v>0</v>
      </c>
      <c r="AT83" s="12">
        <v>2.54132377815239E-3</v>
      </c>
      <c r="AU83" s="12">
        <v>6.9564072653391902E-3</v>
      </c>
      <c r="AV83" s="12">
        <v>8.3623626954146702E-3</v>
      </c>
      <c r="AW83" s="12">
        <v>5.9968198164889897E-3</v>
      </c>
      <c r="AX83" s="12">
        <v>1.6251258558008699E-2</v>
      </c>
      <c r="AY83" s="12">
        <v>3.1674006389974E-3</v>
      </c>
      <c r="AZ83" s="12">
        <v>2.4874250291279799E-2</v>
      </c>
      <c r="BA83" s="12">
        <v>1.32173685520523E-2</v>
      </c>
      <c r="BB83" s="12">
        <v>1.7903997147845001E-2</v>
      </c>
      <c r="BC83" s="12">
        <v>1.47454829055677E-2</v>
      </c>
      <c r="BD83" s="12">
        <v>1.6396154424677199E-2</v>
      </c>
      <c r="BE83" s="12">
        <v>2.5576787780394499E-2</v>
      </c>
      <c r="BF83" s="12">
        <v>2.6243091822472E-2</v>
      </c>
      <c r="BG83" s="12">
        <v>1.72988008917884E-2</v>
      </c>
      <c r="BH83" s="12">
        <v>1.6388454510933698E-2</v>
      </c>
      <c r="BI83" s="12">
        <v>2.69695686237242E-2</v>
      </c>
      <c r="BJ83" s="12">
        <v>1.08635558142651E-2</v>
      </c>
      <c r="BK83" s="12">
        <v>1.6742256836966399E-2</v>
      </c>
      <c r="BL83" s="12">
        <v>9.9750021967150408E-6</v>
      </c>
      <c r="BM83" s="12">
        <v>3.4513022931218003E-2</v>
      </c>
      <c r="BN83" s="12">
        <v>2.1580176879127201E-2</v>
      </c>
      <c r="BO83" s="12">
        <v>1.5852983222415701E-2</v>
      </c>
      <c r="BP83" s="12">
        <v>1.08563540950569E-2</v>
      </c>
      <c r="BQ83" s="12">
        <v>1.5883675282693101E-2</v>
      </c>
      <c r="BR83" s="12">
        <v>1.09190787953172E-2</v>
      </c>
      <c r="BS83" s="12">
        <v>1.40832536069987E-2</v>
      </c>
      <c r="BT83" s="12">
        <v>1.5208941870597299E-2</v>
      </c>
      <c r="BU83" s="12">
        <v>1.0737545075933301E-2</v>
      </c>
      <c r="BV83" s="12">
        <v>1.2816280384585E-2</v>
      </c>
      <c r="BW83" s="12">
        <v>3.4288935290610903E-2</v>
      </c>
      <c r="BX83" s="12">
        <v>8.9951000863421407E-3</v>
      </c>
      <c r="BY83" s="12">
        <v>7.1694526362323097E-3</v>
      </c>
      <c r="BZ83" s="12">
        <v>4.1851497286239901E-3</v>
      </c>
      <c r="CA83" s="12">
        <v>2.3518304010716599E-3</v>
      </c>
      <c r="CB83" s="12">
        <v>1.6953485532615699E-2</v>
      </c>
      <c r="CC83" s="12">
        <v>1.4289531824371199E-2</v>
      </c>
      <c r="CD83" s="12">
        <v>3.25451292018835E-5</v>
      </c>
      <c r="CE83" s="12">
        <v>1.19525893805248E-2</v>
      </c>
      <c r="CF83" s="12">
        <v>1.6525438794947601E-2</v>
      </c>
      <c r="CG83" s="12">
        <v>1.3689229358078901E-2</v>
      </c>
      <c r="CH83" s="12">
        <v>2.3387995413608299E-2</v>
      </c>
      <c r="CI83" s="12">
        <v>8.0086810869224399E-3</v>
      </c>
      <c r="CJ83" s="12">
        <v>0</v>
      </c>
      <c r="CK83" s="12">
        <v>3.8043196457620901E-2</v>
      </c>
      <c r="CL83" s="12">
        <v>3.6316333863263398E-2</v>
      </c>
      <c r="CM83" s="12">
        <v>1.40331445909474E-2</v>
      </c>
      <c r="CN83" s="12">
        <v>1.15862794751395E-2</v>
      </c>
    </row>
    <row r="84" spans="1:93" s="13" customFormat="1" x14ac:dyDescent="0.2">
      <c r="A84" s="12" t="s">
        <v>140</v>
      </c>
      <c r="B84" s="12" t="s">
        <v>140</v>
      </c>
      <c r="C84" s="12">
        <v>1.0331869623682647E-4</v>
      </c>
      <c r="D84" s="12">
        <v>3</v>
      </c>
      <c r="E84" s="12">
        <v>0.34259259259259262</v>
      </c>
      <c r="F84" s="12">
        <v>56.10526315789474</v>
      </c>
      <c r="G84" s="12">
        <v>5.9577427148726752E-3</v>
      </c>
      <c r="H84" s="12" t="s">
        <v>380</v>
      </c>
      <c r="I84" s="12" t="s">
        <v>88</v>
      </c>
      <c r="J84" s="12">
        <v>3.1036661526317398E-4</v>
      </c>
      <c r="K84" s="12">
        <v>5.0659978366926505E-4</v>
      </c>
      <c r="L84" s="12">
        <v>7.7897944848584802E-4</v>
      </c>
      <c r="M84" s="12">
        <v>3.6481694314004199E-4</v>
      </c>
      <c r="N84" s="12">
        <v>2.53994317234138E-4</v>
      </c>
      <c r="O84" s="12">
        <v>2.74116387662442E-4</v>
      </c>
      <c r="P84" s="12">
        <v>9.8709738185280408E-4</v>
      </c>
      <c r="Q84" s="12">
        <v>6.40825817170398E-4</v>
      </c>
      <c r="R84" s="12">
        <v>5.1114839328976404E-4</v>
      </c>
      <c r="S84" s="12">
        <v>3.86932313458808E-4</v>
      </c>
      <c r="T84" s="12">
        <v>3.6941200086802099E-4</v>
      </c>
      <c r="U84" s="12">
        <v>5.5657667246484296E-4</v>
      </c>
      <c r="V84" s="12">
        <v>1.8690890792917599E-4</v>
      </c>
      <c r="W84" s="12">
        <v>6.7022712447352298E-4</v>
      </c>
      <c r="X84" s="12">
        <v>4.6978484222311699E-4</v>
      </c>
      <c r="Y84" s="12">
        <v>3.2974331522339802E-4</v>
      </c>
      <c r="Z84" s="12">
        <v>1.0674265481132701E-3</v>
      </c>
      <c r="AA84" s="12">
        <v>4.43963227555973E-4</v>
      </c>
      <c r="AB84" s="12">
        <v>4.2334847531152602E-4</v>
      </c>
      <c r="AC84" s="12">
        <v>0</v>
      </c>
      <c r="AD84" s="12">
        <v>6.4776876086261495E-4</v>
      </c>
      <c r="AE84" s="12">
        <v>0</v>
      </c>
      <c r="AF84" s="12">
        <v>5.1556686751877997E-4</v>
      </c>
      <c r="AG84" s="12">
        <v>2.7671901301932702E-4</v>
      </c>
      <c r="AH84" s="12">
        <v>1.2877097974316699E-3</v>
      </c>
      <c r="AI84" s="12">
        <v>8.3138273224290301E-4</v>
      </c>
      <c r="AJ84" s="12">
        <v>4.0609065913701901E-4</v>
      </c>
      <c r="AK84" s="12">
        <v>0</v>
      </c>
      <c r="AL84" s="12">
        <v>4.6656375757160899E-4</v>
      </c>
      <c r="AM84" s="12">
        <v>4.5663479383165301E-4</v>
      </c>
      <c r="AN84" s="12">
        <v>6.9048619486804296E-4</v>
      </c>
      <c r="AO84" s="12">
        <v>0</v>
      </c>
      <c r="AP84" s="12">
        <v>5.1967520973326096E-4</v>
      </c>
      <c r="AQ84" s="12">
        <v>7.6052938711465199E-4</v>
      </c>
      <c r="AR84" s="12">
        <v>5.1919798702652203E-4</v>
      </c>
      <c r="AS84" s="12">
        <v>0</v>
      </c>
      <c r="AT84" s="12">
        <v>4.8012243498882798E-4</v>
      </c>
      <c r="AU84" s="12">
        <v>2.9061297476957901E-4</v>
      </c>
      <c r="AV84" s="12">
        <v>0</v>
      </c>
      <c r="AW84" s="12">
        <v>6.2553555539866595E-4</v>
      </c>
      <c r="AX84" s="12">
        <v>1.0393839350827799E-3</v>
      </c>
      <c r="AY84" s="12">
        <v>0</v>
      </c>
      <c r="AZ84" s="12">
        <v>0</v>
      </c>
      <c r="BA84" s="12">
        <v>5.4399887303356804E-4</v>
      </c>
      <c r="BB84" s="12">
        <v>6.6270920047843695E-4</v>
      </c>
      <c r="BC84" s="12">
        <v>0</v>
      </c>
      <c r="BD84" s="12">
        <v>8.9081187955579997E-4</v>
      </c>
      <c r="BE84" s="12">
        <v>8.2858487229647002E-4</v>
      </c>
      <c r="BF84" s="12">
        <v>1.06868816524888E-3</v>
      </c>
      <c r="BG84" s="12">
        <v>8.3049304541174898E-4</v>
      </c>
      <c r="BH84" s="12">
        <v>8.8664955410816797E-4</v>
      </c>
      <c r="BI84" s="12">
        <v>8.3939233676360995E-4</v>
      </c>
      <c r="BJ84" s="12">
        <v>7.8323123741790598E-4</v>
      </c>
      <c r="BK84" s="12">
        <v>6.0535202564761205E-4</v>
      </c>
      <c r="BL84" s="12">
        <v>3.5092798280489602E-4</v>
      </c>
      <c r="BM84" s="12">
        <v>9.0974777061920498E-4</v>
      </c>
      <c r="BN84" s="12">
        <v>8.4594085526258004E-4</v>
      </c>
      <c r="BO84" s="12">
        <v>8.2817859196650896E-4</v>
      </c>
      <c r="BP84" s="12">
        <v>7.5382406898151803E-4</v>
      </c>
      <c r="BQ84" s="12">
        <v>9.5939400423404695E-4</v>
      </c>
      <c r="BR84" s="12">
        <v>4.88398138512576E-4</v>
      </c>
      <c r="BS84" s="12">
        <v>7.4110202509872203E-4</v>
      </c>
      <c r="BT84" s="12">
        <v>0</v>
      </c>
      <c r="BU84" s="12">
        <v>9.8255303166025791E-4</v>
      </c>
      <c r="BV84" s="12">
        <v>0</v>
      </c>
      <c r="BW84" s="12">
        <v>1.5709342195195401E-3</v>
      </c>
      <c r="BX84" s="12">
        <v>2.7927110280571201E-4</v>
      </c>
      <c r="BY84" s="12">
        <v>0</v>
      </c>
      <c r="BZ84" s="12">
        <v>3.9677107121495199E-4</v>
      </c>
      <c r="CA84" s="12">
        <v>2.39520119679389E-4</v>
      </c>
      <c r="CB84" s="12">
        <v>7.1472175246624099E-4</v>
      </c>
      <c r="CC84" s="12">
        <v>8.2403564838400001E-4</v>
      </c>
      <c r="CD84" s="12">
        <v>1.9574108892130701E-4</v>
      </c>
      <c r="CE84" s="12">
        <v>1.10408370438373E-3</v>
      </c>
      <c r="CF84" s="12">
        <v>8.9505557091439905E-4</v>
      </c>
      <c r="CG84" s="12">
        <v>8.6954487549852099E-4</v>
      </c>
      <c r="CH84" s="12">
        <v>9.4433698677879403E-4</v>
      </c>
      <c r="CI84" s="12">
        <v>0</v>
      </c>
      <c r="CJ84" s="12">
        <v>7.7271438992830305E-4</v>
      </c>
      <c r="CK84" s="12">
        <v>8.7838315783389596E-4</v>
      </c>
      <c r="CL84" s="12">
        <v>1.1909183855356999E-3</v>
      </c>
      <c r="CM84" s="12">
        <v>0</v>
      </c>
      <c r="CN84" s="12">
        <v>1.07370506050945E-3</v>
      </c>
    </row>
    <row r="85" spans="1:93" s="13" customFormat="1" x14ac:dyDescent="0.2">
      <c r="A85" s="12" t="s">
        <v>156</v>
      </c>
      <c r="B85" s="12" t="s">
        <v>156</v>
      </c>
      <c r="C85" s="12">
        <v>5.9988168832926618E-2</v>
      </c>
      <c r="D85" s="12">
        <v>1</v>
      </c>
      <c r="E85" s="12">
        <v>0.5</v>
      </c>
      <c r="F85" s="12">
        <v>11.184210526315789</v>
      </c>
      <c r="G85" s="12">
        <v>0.33546015465781331</v>
      </c>
      <c r="H85" s="12" t="s">
        <v>380</v>
      </c>
      <c r="I85" s="12" t="s">
        <v>155</v>
      </c>
      <c r="J85" s="12">
        <v>2.7289652154298499E-5</v>
      </c>
      <c r="K85" s="12">
        <v>1.5083078800682299E-5</v>
      </c>
      <c r="L85" s="12">
        <v>4.6091835156651897E-6</v>
      </c>
      <c r="M85" s="12">
        <v>1.46661458636112E-5</v>
      </c>
      <c r="N85" s="12">
        <v>1.2776591219914499E-5</v>
      </c>
      <c r="O85" s="12">
        <v>4.8122258312641701E-5</v>
      </c>
      <c r="P85" s="12">
        <v>0</v>
      </c>
      <c r="Q85" s="12">
        <v>0</v>
      </c>
      <c r="R85" s="12">
        <v>1.42734513790825E-5</v>
      </c>
      <c r="S85" s="12">
        <v>0</v>
      </c>
      <c r="T85" s="12">
        <v>0</v>
      </c>
      <c r="U85" s="12">
        <v>0</v>
      </c>
      <c r="V85" s="12">
        <v>1.73635691117252E-5</v>
      </c>
      <c r="W85" s="12">
        <v>2.7025142959942502E-5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1.80826051837038E-5</v>
      </c>
      <c r="AD85" s="12">
        <v>7.2242705166885297E-5</v>
      </c>
      <c r="AE85" s="12">
        <v>0</v>
      </c>
      <c r="AF85" s="12">
        <v>4.8572784421690602E-5</v>
      </c>
      <c r="AG85" s="12">
        <v>1.6946343295214399E-5</v>
      </c>
      <c r="AH85" s="12">
        <v>0</v>
      </c>
      <c r="AI85" s="12">
        <v>0</v>
      </c>
      <c r="AJ85" s="12">
        <v>8.6682015334529007E-6</v>
      </c>
      <c r="AK85" s="12">
        <v>0</v>
      </c>
      <c r="AL85" s="12">
        <v>3.2480447192537497E-5</v>
      </c>
      <c r="AM85" s="12">
        <v>1.0336821100542501E-5</v>
      </c>
      <c r="AN85" s="12">
        <v>1.7492263063057199E-5</v>
      </c>
      <c r="AO85" s="12">
        <v>9.1704574473526503E-6</v>
      </c>
      <c r="AP85" s="12">
        <v>1.6991119721891201E-5</v>
      </c>
      <c r="AQ85" s="12">
        <v>0</v>
      </c>
      <c r="AR85" s="12">
        <v>1.8616455647773899E-5</v>
      </c>
      <c r="AS85" s="12">
        <v>3.1512655374690998E-5</v>
      </c>
      <c r="AT85" s="12">
        <v>0</v>
      </c>
      <c r="AU85" s="12">
        <v>1.2622721490904E-5</v>
      </c>
      <c r="AV85" s="12">
        <v>7.6860994592722897E-4</v>
      </c>
      <c r="AW85" s="12">
        <v>1.80541480709074E-5</v>
      </c>
      <c r="AX85" s="12">
        <v>4.2083320535591698E-5</v>
      </c>
      <c r="AY85" s="12">
        <v>0</v>
      </c>
      <c r="AZ85" s="12">
        <v>2.5567602164322899E-5</v>
      </c>
      <c r="BA85" s="12">
        <v>0</v>
      </c>
      <c r="BB85" s="12">
        <v>0</v>
      </c>
      <c r="BC85" s="12">
        <v>0</v>
      </c>
      <c r="BD85" s="12">
        <v>3.3336730181659901E-5</v>
      </c>
      <c r="BE85" s="12">
        <v>1.07297598046224E-5</v>
      </c>
      <c r="BF85" s="12">
        <v>0</v>
      </c>
      <c r="BG85" s="12">
        <v>1.4052642567137799E-5</v>
      </c>
      <c r="BH85" s="12">
        <v>0</v>
      </c>
      <c r="BI85" s="12">
        <v>1.10524103276958E-5</v>
      </c>
      <c r="BJ85" s="12">
        <v>1.03833382040828E-5</v>
      </c>
      <c r="BK85" s="12">
        <v>0</v>
      </c>
      <c r="BL85" s="12">
        <v>0</v>
      </c>
      <c r="BM85" s="12">
        <v>2.5098629057152901E-5</v>
      </c>
      <c r="BN85" s="12">
        <v>2.4102106436901001E-5</v>
      </c>
      <c r="BO85" s="12">
        <v>1.2422213809700001E-5</v>
      </c>
      <c r="BP85" s="12">
        <v>0</v>
      </c>
      <c r="BQ85" s="12">
        <v>9.1739422094589001E-6</v>
      </c>
      <c r="BR85" s="12">
        <v>0</v>
      </c>
      <c r="BS85" s="12">
        <v>0</v>
      </c>
      <c r="BT85" s="12">
        <v>1.1533895173996699E-5</v>
      </c>
      <c r="BU85" s="12">
        <v>1.6569789834010299E-5</v>
      </c>
      <c r="BV85" s="12">
        <v>7.6234753434312304E-6</v>
      </c>
      <c r="BW85" s="12">
        <v>0</v>
      </c>
      <c r="BX85" s="12">
        <v>0</v>
      </c>
      <c r="BY85" s="12">
        <v>4.9552891337771498E-5</v>
      </c>
      <c r="BZ85" s="12">
        <v>0</v>
      </c>
      <c r="CA85" s="12">
        <v>0</v>
      </c>
      <c r="CB85" s="12">
        <v>2.4425417737073402E-5</v>
      </c>
      <c r="CC85" s="12">
        <v>8.4993360327598601E-6</v>
      </c>
      <c r="CD85" s="12">
        <v>8.0891334458486892E-6</v>
      </c>
      <c r="CE85" s="12">
        <v>0</v>
      </c>
      <c r="CF85" s="12">
        <v>6.2955256829576401E-6</v>
      </c>
      <c r="CG85" s="12">
        <v>0</v>
      </c>
      <c r="CH85" s="12">
        <v>1.9227198059622699E-5</v>
      </c>
      <c r="CI85" s="12">
        <v>0</v>
      </c>
      <c r="CJ85" s="12">
        <v>1.29287637627044E-5</v>
      </c>
      <c r="CK85" s="12">
        <v>0</v>
      </c>
      <c r="CL85" s="12">
        <v>8.6644300518264698E-6</v>
      </c>
      <c r="CM85" s="12">
        <v>6.3651698942388305E-5</v>
      </c>
      <c r="CN85" s="12">
        <v>0</v>
      </c>
    </row>
    <row r="86" spans="1:93" s="13" customFormat="1" x14ac:dyDescent="0.2">
      <c r="A86" s="12" t="s">
        <v>179</v>
      </c>
      <c r="B86" s="12" t="s">
        <v>179</v>
      </c>
      <c r="C86" s="12">
        <v>8.8486031653203236E-4</v>
      </c>
      <c r="D86" s="12">
        <v>4</v>
      </c>
      <c r="E86" s="12">
        <v>0.25</v>
      </c>
      <c r="F86" s="12">
        <v>0.85675699999999999</v>
      </c>
      <c r="G86" s="12">
        <v>7.5811027021103442E-4</v>
      </c>
      <c r="H86" s="12" t="s">
        <v>380</v>
      </c>
      <c r="I86" s="12" t="s">
        <v>177</v>
      </c>
      <c r="J86" s="12">
        <v>9.8435782953559603E-6</v>
      </c>
      <c r="K86" s="12">
        <v>3.1092740339040201E-5</v>
      </c>
      <c r="L86" s="12">
        <v>6.1928562616440301E-5</v>
      </c>
      <c r="M86" s="12">
        <v>5.74253961678873E-5</v>
      </c>
      <c r="N86" s="12">
        <v>0</v>
      </c>
      <c r="O86" s="12">
        <v>0</v>
      </c>
      <c r="P86" s="12">
        <v>3.0252481219159601E-5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1.0592707984677401E-5</v>
      </c>
      <c r="W86" s="12">
        <v>0</v>
      </c>
      <c r="X86" s="12">
        <v>0</v>
      </c>
      <c r="Y86" s="12">
        <v>8.8012427585612195E-6</v>
      </c>
      <c r="Z86" s="12">
        <v>0</v>
      </c>
      <c r="AA86" s="12">
        <v>2.5236841491979102E-5</v>
      </c>
      <c r="AB86" s="12">
        <v>1.30746177296593E-5</v>
      </c>
      <c r="AC86" s="12">
        <v>0</v>
      </c>
      <c r="AD86" s="12">
        <v>0</v>
      </c>
      <c r="AE86" s="12">
        <v>2.18047946001054E-5</v>
      </c>
      <c r="AF86" s="12">
        <v>0</v>
      </c>
      <c r="AG86" s="12">
        <v>0</v>
      </c>
      <c r="AH86" s="12">
        <v>9.8123944916182296E-5</v>
      </c>
      <c r="AI86" s="12">
        <v>5.6347934357614101E-5</v>
      </c>
      <c r="AJ86" s="12">
        <v>1.6513875268948699E-4</v>
      </c>
      <c r="AK86" s="12">
        <v>1.6515928725172201E-4</v>
      </c>
      <c r="AL86" s="12">
        <v>5.1053556340154501E-5</v>
      </c>
      <c r="AM86" s="12">
        <v>0</v>
      </c>
      <c r="AN86" s="12">
        <v>1.1889264804049499E-5</v>
      </c>
      <c r="AO86" s="12">
        <v>0</v>
      </c>
      <c r="AP86" s="12">
        <v>1.04101982447825E-5</v>
      </c>
      <c r="AQ86" s="12">
        <v>0</v>
      </c>
      <c r="AR86" s="12">
        <v>3.2506035102034801E-5</v>
      </c>
      <c r="AS86" s="12">
        <v>3.5795546723177403E-5</v>
      </c>
      <c r="AT86" s="12">
        <v>3.3007223963239899E-5</v>
      </c>
      <c r="AU86" s="12">
        <v>3.22100945755006E-5</v>
      </c>
      <c r="AV86" s="12">
        <v>0</v>
      </c>
      <c r="AW86" s="12">
        <v>6.9640358797354597E-5</v>
      </c>
      <c r="AX86" s="12">
        <v>8.9417392240967098E-5</v>
      </c>
      <c r="AY86" s="12">
        <v>0</v>
      </c>
      <c r="AZ86" s="12">
        <v>0</v>
      </c>
      <c r="BA86" s="12">
        <v>0</v>
      </c>
      <c r="BB86" s="12">
        <v>6.9836425116498902E-5</v>
      </c>
      <c r="BC86" s="12">
        <v>5.36417576868847E-5</v>
      </c>
      <c r="BD86" s="12">
        <v>0</v>
      </c>
      <c r="BE86" s="12">
        <v>8.4628764376803E-5</v>
      </c>
      <c r="BF86" s="12">
        <v>0</v>
      </c>
      <c r="BG86" s="12">
        <v>3.1210879001107498E-5</v>
      </c>
      <c r="BH86" s="12">
        <v>0</v>
      </c>
      <c r="BI86" s="12">
        <v>9.4649429370298805E-5</v>
      </c>
      <c r="BJ86" s="12">
        <v>0</v>
      </c>
      <c r="BK86" s="12">
        <v>2.5248349890239899E-5</v>
      </c>
      <c r="BL86" s="12">
        <v>0</v>
      </c>
      <c r="BM86" s="12">
        <v>5.5028541216554797E-5</v>
      </c>
      <c r="BN86" s="12">
        <v>0</v>
      </c>
      <c r="BO86" s="12">
        <v>0</v>
      </c>
      <c r="BP86" s="12">
        <v>2.73679961447998E-5</v>
      </c>
      <c r="BQ86" s="12">
        <v>4.2610732499413E-5</v>
      </c>
      <c r="BR86" s="12">
        <v>1.7013082186777401E-5</v>
      </c>
      <c r="BS86" s="12">
        <v>0</v>
      </c>
      <c r="BT86" s="12">
        <v>9.3634953683413997E-5</v>
      </c>
      <c r="BU86" s="12">
        <v>0</v>
      </c>
      <c r="BV86" s="12">
        <v>3.4008227718728399E-5</v>
      </c>
      <c r="BW86" s="12">
        <v>1.7648304972072299E-4</v>
      </c>
      <c r="BX86" s="12">
        <v>0</v>
      </c>
      <c r="BY86" s="12">
        <v>1.0862255150526599E-4</v>
      </c>
      <c r="BZ86" s="12">
        <v>0</v>
      </c>
      <c r="CA86" s="12">
        <v>0</v>
      </c>
      <c r="CB86" s="12">
        <v>3.58286958243612E-5</v>
      </c>
      <c r="CC86" s="12">
        <v>3.6370812247435299E-5</v>
      </c>
      <c r="CD86" s="12">
        <v>0</v>
      </c>
      <c r="CE86" s="12">
        <v>4.3440818548460998E-5</v>
      </c>
      <c r="CF86" s="12">
        <v>3.7283270345559302E-5</v>
      </c>
      <c r="CG86" s="12">
        <v>4.8699443672939197E-5</v>
      </c>
      <c r="CH86" s="12">
        <v>3.4614016789817703E-5</v>
      </c>
      <c r="CI86" s="12">
        <v>0</v>
      </c>
      <c r="CJ86" s="12">
        <v>2.9907148007256401E-5</v>
      </c>
      <c r="CK86" s="12">
        <v>7.4663784615175795E-5</v>
      </c>
      <c r="CL86" s="12">
        <v>0</v>
      </c>
      <c r="CM86" s="12">
        <v>0</v>
      </c>
      <c r="CN86" s="12">
        <v>0</v>
      </c>
    </row>
    <row r="87" spans="1:93" s="13" customFormat="1" x14ac:dyDescent="0.2">
      <c r="A87" s="12" t="s">
        <v>181</v>
      </c>
      <c r="B87" s="12" t="s">
        <v>181</v>
      </c>
      <c r="C87" s="12">
        <v>1.7586884271638716E-2</v>
      </c>
      <c r="D87" s="12">
        <v>32</v>
      </c>
      <c r="E87" s="12">
        <v>0.84545454545454546</v>
      </c>
      <c r="F87" s="12">
        <v>0.85675699999999999</v>
      </c>
      <c r="G87" s="12">
        <v>0.40764940140690109</v>
      </c>
      <c r="H87" s="12" t="s">
        <v>380</v>
      </c>
      <c r="I87" s="12" t="s">
        <v>177</v>
      </c>
      <c r="J87" s="12">
        <v>0</v>
      </c>
      <c r="K87" s="12">
        <v>0</v>
      </c>
      <c r="L87" s="12">
        <v>5.6831877022328897E-5</v>
      </c>
      <c r="M87" s="12">
        <v>1.9819559598748701E-4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2.9897646319010899E-5</v>
      </c>
      <c r="W87" s="12">
        <v>9.3032780275744E-5</v>
      </c>
      <c r="X87" s="12">
        <v>3.1214544367259802E-5</v>
      </c>
      <c r="Y87" s="12">
        <v>6.1175566540773506E-5</v>
      </c>
      <c r="Z87" s="12">
        <v>0</v>
      </c>
      <c r="AA87" s="12">
        <v>4.0216937851080002E-5</v>
      </c>
      <c r="AB87" s="12">
        <v>1.5062740702588901E-4</v>
      </c>
      <c r="AC87" s="12">
        <v>0</v>
      </c>
      <c r="AD87" s="12">
        <v>0</v>
      </c>
      <c r="AE87" s="12">
        <v>1.04314336491128E-5</v>
      </c>
      <c r="AF87" s="12">
        <v>0</v>
      </c>
      <c r="AG87" s="12">
        <v>0</v>
      </c>
      <c r="AH87" s="12">
        <v>0</v>
      </c>
      <c r="AI87" s="12">
        <v>0</v>
      </c>
      <c r="AJ87" s="12">
        <v>1.9935631622064301E-5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3.3910641065609403E-5</v>
      </c>
      <c r="AT87" s="12">
        <v>0</v>
      </c>
      <c r="AU87" s="12">
        <v>0</v>
      </c>
      <c r="AV87" s="12">
        <v>0</v>
      </c>
      <c r="AW87" s="12">
        <v>2.3048146193807999E-5</v>
      </c>
      <c r="AX87" s="12">
        <v>1.1565249330888299E-5</v>
      </c>
      <c r="AY87" s="12">
        <v>1.7327344098334299E-4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9.9265194985060303E-5</v>
      </c>
      <c r="BO87" s="12">
        <v>0</v>
      </c>
      <c r="BP87" s="12">
        <v>0</v>
      </c>
      <c r="BQ87" s="12">
        <v>1.4308101094038699E-5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9.6418861701874793E-6</v>
      </c>
      <c r="CE87" s="12">
        <v>1.12714295266402E-4</v>
      </c>
      <c r="CF87" s="12">
        <v>0</v>
      </c>
      <c r="CG87" s="12">
        <v>0</v>
      </c>
      <c r="CH87" s="12">
        <v>0</v>
      </c>
      <c r="CI87" s="12">
        <v>6.6475100103604906E-5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</row>
    <row r="88" spans="1:93" s="13" customFormat="1" x14ac:dyDescent="0.2">
      <c r="A88" s="12" t="s">
        <v>186</v>
      </c>
      <c r="B88" s="12" t="s">
        <v>186</v>
      </c>
      <c r="C88" s="12">
        <v>3.4558870810491475E-5</v>
      </c>
      <c r="D88" s="12">
        <v>19</v>
      </c>
      <c r="E88" s="12">
        <v>0.6071428571428571</v>
      </c>
      <c r="F88" s="12">
        <v>870.03947368421052</v>
      </c>
      <c r="G88" s="12">
        <v>0.34685103257353722</v>
      </c>
      <c r="H88" s="12" t="s">
        <v>380</v>
      </c>
      <c r="I88" s="12" t="s">
        <v>384</v>
      </c>
      <c r="J88" s="12">
        <v>4.1833962233361698E-4</v>
      </c>
      <c r="K88" s="12">
        <v>0</v>
      </c>
      <c r="L88" s="12">
        <v>9.8612961151861296E-4</v>
      </c>
      <c r="M88" s="12">
        <v>5.6158564755624601E-4</v>
      </c>
      <c r="N88" s="12">
        <v>2.3668459931107901E-4</v>
      </c>
      <c r="O88" s="12">
        <v>2.8369063539066799E-4</v>
      </c>
      <c r="P88" s="12">
        <v>1.07994589998631E-3</v>
      </c>
      <c r="Q88" s="12">
        <v>3.7501444808359498E-4</v>
      </c>
      <c r="R88" s="12">
        <v>2.0933651990278599E-4</v>
      </c>
      <c r="S88" s="12">
        <v>0</v>
      </c>
      <c r="T88" s="12">
        <v>2.5383119829081502E-4</v>
      </c>
      <c r="U88" s="12">
        <v>1.5973312932915601E-4</v>
      </c>
      <c r="V88" s="12">
        <v>0</v>
      </c>
      <c r="W88" s="12">
        <v>3.7887591655728502E-4</v>
      </c>
      <c r="X88" s="12">
        <v>2.6174054357048902E-4</v>
      </c>
      <c r="Y88" s="12">
        <v>1.7828672197396799E-4</v>
      </c>
      <c r="Z88" s="12">
        <v>0</v>
      </c>
      <c r="AA88" s="12">
        <v>0</v>
      </c>
      <c r="AB88" s="12">
        <v>0</v>
      </c>
      <c r="AC88" s="12">
        <v>2.1113440077311099E-4</v>
      </c>
      <c r="AD88" s="12">
        <v>5.0391582827499803E-4</v>
      </c>
      <c r="AE88" s="12">
        <v>5.1285311770914003E-4</v>
      </c>
      <c r="AF88" s="12">
        <v>1.13087603291739E-3</v>
      </c>
      <c r="AG88" s="12">
        <v>2.9873423796729901E-4</v>
      </c>
      <c r="AH88" s="12">
        <v>1.1833739369782499E-3</v>
      </c>
      <c r="AI88" s="12">
        <v>6.3698176517409998E-4</v>
      </c>
      <c r="AJ88" s="12">
        <v>9.8213231313426606E-4</v>
      </c>
      <c r="AK88" s="12">
        <v>1.64391742928279E-3</v>
      </c>
      <c r="AL88" s="12">
        <v>9.0071210619119203E-4</v>
      </c>
      <c r="AM88" s="12">
        <v>4.8381797565854603E-4</v>
      </c>
      <c r="AN88" s="12">
        <v>6.1627563804346095E-4</v>
      </c>
      <c r="AO88" s="12">
        <v>3.76020913366754E-4</v>
      </c>
      <c r="AP88" s="12">
        <v>6.2418452890522697E-4</v>
      </c>
      <c r="AQ88" s="12">
        <v>1.16116249532194E-3</v>
      </c>
      <c r="AR88" s="12">
        <v>7.13325911474596E-4</v>
      </c>
      <c r="AS88" s="12">
        <v>1.0046181034944E-3</v>
      </c>
      <c r="AT88" s="12">
        <v>3.2619327265962802E-4</v>
      </c>
      <c r="AU88" s="12">
        <v>5.6665144423575001E-4</v>
      </c>
      <c r="AV88" s="12">
        <v>1.03567143959178E-3</v>
      </c>
      <c r="AW88" s="12">
        <v>6.4638311030703905E-4</v>
      </c>
      <c r="AX88" s="12">
        <v>7.9610985489029801E-4</v>
      </c>
      <c r="AY88" s="12">
        <v>2.9464969779439601E-4</v>
      </c>
      <c r="AZ88" s="12">
        <v>0</v>
      </c>
      <c r="BA88" s="12">
        <v>0</v>
      </c>
      <c r="BB88" s="12">
        <v>1.62991891607187E-3</v>
      </c>
      <c r="BC88" s="12">
        <v>1.2980337958987699E-3</v>
      </c>
      <c r="BD88" s="12">
        <v>1.7824074962310801E-3</v>
      </c>
      <c r="BE88" s="12">
        <v>1.5234948834016401E-3</v>
      </c>
      <c r="BF88" s="12">
        <v>3.1772617905198798E-3</v>
      </c>
      <c r="BG88" s="12">
        <v>1.51731936289718E-3</v>
      </c>
      <c r="BH88" s="12">
        <v>0</v>
      </c>
      <c r="BI88" s="12">
        <v>1.7145020155375601E-3</v>
      </c>
      <c r="BJ88" s="12">
        <v>5.1093658390589198E-4</v>
      </c>
      <c r="BK88" s="12">
        <v>1.00816356965061E-3</v>
      </c>
      <c r="BL88" s="12">
        <v>0</v>
      </c>
      <c r="BM88" s="12">
        <v>1.75305281308889E-3</v>
      </c>
      <c r="BN88" s="12">
        <v>1.00566653825249E-3</v>
      </c>
      <c r="BO88" s="12">
        <v>0</v>
      </c>
      <c r="BP88" s="12">
        <v>7.8676131945227797E-4</v>
      </c>
      <c r="BQ88" s="12">
        <v>0</v>
      </c>
      <c r="BR88" s="12">
        <v>9.8984911699236794E-4</v>
      </c>
      <c r="BS88" s="12">
        <v>8.3208367215043596E-4</v>
      </c>
      <c r="BT88" s="12">
        <v>8.7099968912418503E-4</v>
      </c>
      <c r="BU88" s="12">
        <v>8.4930171292887599E-4</v>
      </c>
      <c r="BV88" s="12">
        <v>1.19484067906781E-3</v>
      </c>
      <c r="BW88" s="12">
        <v>1.9525043045089401E-3</v>
      </c>
      <c r="BX88" s="12">
        <v>1.05110233290925E-3</v>
      </c>
      <c r="BY88" s="12">
        <v>0</v>
      </c>
      <c r="BZ88" s="12">
        <v>2.0417520485443099E-4</v>
      </c>
      <c r="CA88" s="12">
        <v>1.4271150955933701E-4</v>
      </c>
      <c r="CB88" s="12">
        <v>9.5683928971180198E-4</v>
      </c>
      <c r="CC88" s="12">
        <v>9.5735497833617097E-4</v>
      </c>
      <c r="CD88" s="12">
        <v>0</v>
      </c>
      <c r="CE88" s="12">
        <v>1.06520942393922E-3</v>
      </c>
      <c r="CF88" s="12">
        <v>7.1517117189448998E-4</v>
      </c>
      <c r="CG88" s="12">
        <v>0</v>
      </c>
      <c r="CH88" s="12">
        <v>9.13311655369051E-4</v>
      </c>
      <c r="CI88" s="12">
        <v>6.6472191940303597E-4</v>
      </c>
      <c r="CJ88" s="12">
        <v>7.86174584839487E-4</v>
      </c>
      <c r="CK88" s="12">
        <v>1.65641059597839E-3</v>
      </c>
      <c r="CL88" s="12">
        <v>2.4550311108691401E-3</v>
      </c>
      <c r="CM88" s="12">
        <v>8.27035210959873E-4</v>
      </c>
      <c r="CN88" s="12">
        <v>0</v>
      </c>
    </row>
    <row r="89" spans="1:93" s="13" customFormat="1" x14ac:dyDescent="0.2">
      <c r="A89" s="12" t="s">
        <v>203</v>
      </c>
      <c r="B89" s="12" t="s">
        <v>203</v>
      </c>
      <c r="C89" s="12">
        <v>6.0018724851369403E-3</v>
      </c>
      <c r="D89" s="12">
        <v>39</v>
      </c>
      <c r="E89" s="12">
        <v>0.6</v>
      </c>
      <c r="F89" s="12">
        <v>11.184210526315789</v>
      </c>
      <c r="G89" s="12">
        <v>1.5707532069654442</v>
      </c>
      <c r="H89" s="12" t="s">
        <v>380</v>
      </c>
      <c r="I89" s="12" t="s">
        <v>155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</row>
    <row r="90" spans="1:93" s="13" customFormat="1" x14ac:dyDescent="0.2">
      <c r="A90" s="12" t="s">
        <v>239</v>
      </c>
      <c r="B90" s="12" t="s">
        <v>239</v>
      </c>
      <c r="C90" s="12">
        <v>0.57271253750023565</v>
      </c>
      <c r="D90" s="12">
        <v>9</v>
      </c>
      <c r="E90" s="12">
        <v>0.14754098360655737</v>
      </c>
      <c r="F90" s="12">
        <v>0.85675699999999999</v>
      </c>
      <c r="G90" s="12">
        <v>0.65155268057013505</v>
      </c>
      <c r="H90" s="12" t="s">
        <v>380</v>
      </c>
      <c r="I90" s="12" t="s">
        <v>384</v>
      </c>
      <c r="J90" s="12">
        <v>0</v>
      </c>
      <c r="K90" s="12">
        <v>1.5672345601001002E-5</v>
      </c>
      <c r="L90" s="12">
        <v>9.54295772674668E-6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2.1452059852515201E-5</v>
      </c>
      <c r="U90" s="12">
        <v>6.0742267495158398E-5</v>
      </c>
      <c r="V90" s="12">
        <v>4.6027776966791501E-5</v>
      </c>
      <c r="W90" s="12">
        <v>9.2168814178735701E-6</v>
      </c>
      <c r="X90" s="12">
        <v>1.61725312873998E-5</v>
      </c>
      <c r="Y90" s="12">
        <v>0</v>
      </c>
      <c r="Z90" s="12">
        <v>9.7120743846579006E-6</v>
      </c>
      <c r="AA90" s="12">
        <v>1.6132140657409399E-5</v>
      </c>
      <c r="AB90" s="12">
        <v>0</v>
      </c>
      <c r="AC90" s="12">
        <v>0</v>
      </c>
      <c r="AD90" s="12">
        <v>0</v>
      </c>
      <c r="AE90" s="12">
        <v>9.2286675200391797E-6</v>
      </c>
      <c r="AF90" s="12">
        <v>0</v>
      </c>
      <c r="AG90" s="12">
        <v>0</v>
      </c>
      <c r="AH90" s="12">
        <v>0</v>
      </c>
      <c r="AI90" s="12">
        <v>0</v>
      </c>
      <c r="AJ90" s="12">
        <v>1.18155515687735E-4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5.07760601760423E-5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9.2537550628820892E-6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1.48246346816736E-5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</row>
    <row r="91" spans="1:93" s="13" customFormat="1" x14ac:dyDescent="0.2">
      <c r="A91" s="12" t="s">
        <v>240</v>
      </c>
      <c r="B91" s="12" t="s">
        <v>240</v>
      </c>
      <c r="C91" s="12">
        <v>0.11882268311309573</v>
      </c>
      <c r="D91" s="12">
        <v>8</v>
      </c>
      <c r="E91" s="12">
        <v>0.7</v>
      </c>
      <c r="F91" s="12">
        <v>0.85675699999999999</v>
      </c>
      <c r="G91" s="12">
        <v>0.57009212688918876</v>
      </c>
      <c r="H91" s="12" t="s">
        <v>380</v>
      </c>
      <c r="I91" s="12" t="s">
        <v>384</v>
      </c>
      <c r="J91" s="12">
        <v>5.9493565864015199E-5</v>
      </c>
      <c r="K91" s="12">
        <v>0</v>
      </c>
      <c r="L91" s="12">
        <v>2.27645987597195E-5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1.2837516062449899E-4</v>
      </c>
      <c r="AC91" s="12">
        <v>0</v>
      </c>
      <c r="AD91" s="12">
        <v>0</v>
      </c>
      <c r="AE91" s="12">
        <v>0</v>
      </c>
      <c r="AF91" s="12">
        <v>0</v>
      </c>
      <c r="AG91" s="12">
        <v>6.2057031892211805E-5</v>
      </c>
      <c r="AH91" s="12">
        <v>3.4665223132269498E-5</v>
      </c>
      <c r="AI91" s="12">
        <v>1.44764141775749E-5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4.39588173674168E-5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2.1108044447212099E-4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</row>
    <row r="92" spans="1:93" s="13" customFormat="1" x14ac:dyDescent="0.2">
      <c r="A92" s="12" t="s">
        <v>341</v>
      </c>
      <c r="B92" s="12" t="s">
        <v>341</v>
      </c>
      <c r="C92" s="12">
        <v>1.3501296298998638E-2</v>
      </c>
      <c r="D92" s="12">
        <v>4</v>
      </c>
      <c r="E92" s="12">
        <v>2.2222222222222223E-2</v>
      </c>
      <c r="F92" s="12">
        <v>8.776315789473685</v>
      </c>
      <c r="G92" s="12">
        <v>1.0532590212201277E-2</v>
      </c>
      <c r="H92" s="12" t="s">
        <v>380</v>
      </c>
      <c r="I92" s="12" t="s">
        <v>338</v>
      </c>
      <c r="J92" s="12">
        <v>0</v>
      </c>
      <c r="K92" s="12">
        <v>0</v>
      </c>
      <c r="L92" s="12">
        <v>6.6990157676087404E-6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</row>
    <row r="93" spans="1:93" s="13" customFormat="1" x14ac:dyDescent="0.2">
      <c r="A93" s="12" t="s">
        <v>352</v>
      </c>
      <c r="B93" s="12" t="s">
        <v>352</v>
      </c>
      <c r="C93" s="12">
        <v>2.5265186696976378E-3</v>
      </c>
      <c r="D93" s="12">
        <v>12</v>
      </c>
      <c r="E93" s="12">
        <v>7.1428571428571425E-2</v>
      </c>
      <c r="F93" s="12">
        <v>0.85675699999999999</v>
      </c>
      <c r="G93" s="12">
        <v>1.8553821907664047E-3</v>
      </c>
      <c r="H93" s="12" t="s">
        <v>380</v>
      </c>
      <c r="I93" s="12" t="s">
        <v>384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1.3265664212190001E-5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1.4203324193089299E-5</v>
      </c>
      <c r="AM93" s="12">
        <v>0</v>
      </c>
      <c r="AN93" s="12">
        <v>1.2493295145361E-5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1.1809948397302799E-5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 s="12">
        <v>2.4168795109467398E-5</v>
      </c>
      <c r="BV93" s="12">
        <v>0</v>
      </c>
      <c r="BW93" s="12">
        <v>1.7026132154360002E-5</v>
      </c>
      <c r="BX93" s="12">
        <v>0</v>
      </c>
      <c r="BY93" s="12">
        <v>0</v>
      </c>
      <c r="BZ93" s="12">
        <v>0</v>
      </c>
      <c r="CA93" s="12">
        <v>0</v>
      </c>
      <c r="CB93" s="12">
        <v>0</v>
      </c>
      <c r="CC93" s="12">
        <v>0</v>
      </c>
      <c r="CD93" s="12">
        <v>0</v>
      </c>
      <c r="CE93" s="12">
        <v>7.7307032000502207E-6</v>
      </c>
      <c r="CF93" s="12">
        <v>0</v>
      </c>
      <c r="CG93" s="12">
        <v>0</v>
      </c>
      <c r="CH93" s="12">
        <v>0</v>
      </c>
      <c r="CI93" s="12">
        <v>0</v>
      </c>
      <c r="CJ93" s="12">
        <v>0</v>
      </c>
      <c r="CK93" s="12">
        <v>0</v>
      </c>
      <c r="CL93" s="12">
        <v>0</v>
      </c>
      <c r="CM93" s="12">
        <v>0</v>
      </c>
      <c r="CN93" s="12">
        <v>1.6314245749064398E-5</v>
      </c>
    </row>
    <row r="94" spans="1:93" x14ac:dyDescent="0.2">
      <c r="J94">
        <f>SUM(J81:J93)</f>
        <v>1.0250416119595891E-2</v>
      </c>
      <c r="K94">
        <f t="shared" ref="K94:BV94" si="12">SUM(K81:K93)</f>
        <v>1.2064163258171787E-2</v>
      </c>
      <c r="L94">
        <f t="shared" si="12"/>
        <v>2.9354353652420756E-2</v>
      </c>
      <c r="M94">
        <f t="shared" si="12"/>
        <v>5.448980951507084E-3</v>
      </c>
      <c r="N94">
        <f t="shared" si="12"/>
        <v>1.9252272628203111E-3</v>
      </c>
      <c r="O94">
        <f t="shared" si="12"/>
        <v>4.9801911572199768E-3</v>
      </c>
      <c r="P94">
        <f t="shared" si="12"/>
        <v>3.3428613279154001E-2</v>
      </c>
      <c r="Q94">
        <f t="shared" si="12"/>
        <v>8.9403791358054433E-3</v>
      </c>
      <c r="R94">
        <f t="shared" si="12"/>
        <v>7.1473391875369252E-3</v>
      </c>
      <c r="S94">
        <f t="shared" si="12"/>
        <v>4.1596077369146972E-4</v>
      </c>
      <c r="T94">
        <f t="shared" si="12"/>
        <v>4.0067981492846712E-3</v>
      </c>
      <c r="U94">
        <f t="shared" si="12"/>
        <v>1.0410951375183584E-2</v>
      </c>
      <c r="V94">
        <f t="shared" si="12"/>
        <v>4.6180507057215206E-3</v>
      </c>
      <c r="W94">
        <f t="shared" si="12"/>
        <v>1.2570445007958423E-2</v>
      </c>
      <c r="X94">
        <f t="shared" si="12"/>
        <v>7.1260513254300644E-3</v>
      </c>
      <c r="Y94">
        <f t="shared" si="12"/>
        <v>6.0984069158093448E-3</v>
      </c>
      <c r="Z94">
        <f t="shared" si="12"/>
        <v>1.7359321393622378E-2</v>
      </c>
      <c r="AA94">
        <f t="shared" si="12"/>
        <v>6.1619465479117374E-3</v>
      </c>
      <c r="AB94">
        <f t="shared" si="12"/>
        <v>5.1152401431431571E-3</v>
      </c>
      <c r="AC94">
        <f t="shared" si="12"/>
        <v>2.4203107323928779E-4</v>
      </c>
      <c r="AD94">
        <f t="shared" si="12"/>
        <v>1.2162025034438752E-2</v>
      </c>
      <c r="AE94">
        <f t="shared" si="12"/>
        <v>1.1728095021095297E-2</v>
      </c>
      <c r="AF94">
        <f t="shared" si="12"/>
        <v>2.0065971316079564E-2</v>
      </c>
      <c r="AG94">
        <f t="shared" si="12"/>
        <v>1.4375859052405528E-3</v>
      </c>
      <c r="AH94">
        <f t="shared" si="12"/>
        <v>3.3295721822665166E-2</v>
      </c>
      <c r="AI94">
        <f t="shared" si="12"/>
        <v>2.0621466238362737E-2</v>
      </c>
      <c r="AJ94">
        <f t="shared" si="12"/>
        <v>2.4114394034768995E-3</v>
      </c>
      <c r="AK94">
        <f t="shared" si="12"/>
        <v>2.3482111972924772E-2</v>
      </c>
      <c r="AL94">
        <f t="shared" si="12"/>
        <v>1.1495262630844934E-2</v>
      </c>
      <c r="AM94">
        <f t="shared" si="12"/>
        <v>1.1220295145598459E-2</v>
      </c>
      <c r="AN94">
        <f t="shared" si="12"/>
        <v>9.607659838404085E-3</v>
      </c>
      <c r="AO94">
        <f t="shared" si="12"/>
        <v>4.1542588537112627E-4</v>
      </c>
      <c r="AP94">
        <f t="shared" si="12"/>
        <v>1.2984221717972132E-2</v>
      </c>
      <c r="AQ94">
        <f t="shared" si="12"/>
        <v>1.1879504026248622E-2</v>
      </c>
      <c r="AR94">
        <f t="shared" si="12"/>
        <v>1.2304686879310273E-2</v>
      </c>
      <c r="AS94">
        <f t="shared" si="12"/>
        <v>1.1275626577498202E-3</v>
      </c>
      <c r="AT94">
        <f t="shared" si="12"/>
        <v>3.4582066630845167E-3</v>
      </c>
      <c r="AU94">
        <f t="shared" si="12"/>
        <v>7.896206553445341E-3</v>
      </c>
      <c r="AV94">
        <f t="shared" si="12"/>
        <v>1.0166644080933679E-2</v>
      </c>
      <c r="AW94">
        <f t="shared" si="12"/>
        <v>7.3794811352567652E-3</v>
      </c>
      <c r="AX94">
        <f t="shared" si="12"/>
        <v>1.8229818310089223E-2</v>
      </c>
      <c r="AY94">
        <f t="shared" si="12"/>
        <v>4.3094762120689245E-3</v>
      </c>
      <c r="AZ94">
        <f t="shared" si="12"/>
        <v>2.4916023862301552E-2</v>
      </c>
      <c r="BA94">
        <f t="shared" si="12"/>
        <v>1.3774201690018022E-2</v>
      </c>
      <c r="BB94">
        <f t="shared" si="12"/>
        <v>2.0277280686502638E-2</v>
      </c>
      <c r="BC94">
        <f t="shared" si="12"/>
        <v>1.6138170747299493E-2</v>
      </c>
      <c r="BD94">
        <f t="shared" si="12"/>
        <v>1.9113704157701136E-2</v>
      </c>
      <c r="BE94">
        <f t="shared" si="12"/>
        <v>2.8061238609670375E-2</v>
      </c>
      <c r="BF94">
        <f t="shared" si="12"/>
        <v>3.0614451812918993E-2</v>
      </c>
      <c r="BG94">
        <f t="shared" si="12"/>
        <v>1.9704501636002063E-2</v>
      </c>
      <c r="BH94">
        <f t="shared" si="12"/>
        <v>1.7632240037827786E-2</v>
      </c>
      <c r="BI94">
        <f t="shared" si="12"/>
        <v>2.9629164815723367E-2</v>
      </c>
      <c r="BJ94">
        <f t="shared" si="12"/>
        <v>1.2263153445560818E-2</v>
      </c>
      <c r="BK94">
        <f t="shared" si="12"/>
        <v>1.8450573963119873E-2</v>
      </c>
      <c r="BL94">
        <f t="shared" si="12"/>
        <v>3.7158047073939564E-4</v>
      </c>
      <c r="BM94">
        <f t="shared" si="12"/>
        <v>3.7386307058996399E-2</v>
      </c>
      <c r="BN94">
        <f t="shared" si="12"/>
        <v>2.3555151574064234E-2</v>
      </c>
      <c r="BO94">
        <f t="shared" si="12"/>
        <v>1.6705393976589215E-2</v>
      </c>
      <c r="BP94">
        <f t="shared" si="12"/>
        <v>1.2424307479635495E-2</v>
      </c>
      <c r="BQ94">
        <f t="shared" si="12"/>
        <v>1.6976282822082061E-2</v>
      </c>
      <c r="BR94">
        <f t="shared" si="12"/>
        <v>1.2438059696410061E-2</v>
      </c>
      <c r="BS94">
        <f t="shared" si="12"/>
        <v>1.576701418825106E-2</v>
      </c>
      <c r="BT94">
        <f t="shared" si="12"/>
        <v>1.6231795584535122E-2</v>
      </c>
      <c r="BU94">
        <f t="shared" si="12"/>
        <v>1.2617395654061395E-2</v>
      </c>
      <c r="BV94">
        <f t="shared" si="12"/>
        <v>1.4136890187897827E-2</v>
      </c>
      <c r="BW94">
        <f t="shared" ref="BW94:CN94" si="13">SUM(BW81:BW93)</f>
        <v>3.8172068783205768E-2</v>
      </c>
      <c r="BX94">
        <f t="shared" si="13"/>
        <v>1.0325473522057102E-2</v>
      </c>
      <c r="BY94">
        <f t="shared" si="13"/>
        <v>7.3276280790753471E-3</v>
      </c>
      <c r="BZ94">
        <f t="shared" si="13"/>
        <v>4.800920639375047E-3</v>
      </c>
      <c r="CA94">
        <f t="shared" si="13"/>
        <v>2.7340620303103859E-3</v>
      </c>
      <c r="CB94">
        <f t="shared" si="13"/>
        <v>1.8685300688355173E-2</v>
      </c>
      <c r="CC94">
        <f t="shared" si="13"/>
        <v>1.6131432824496836E-2</v>
      </c>
      <c r="CD94">
        <f t="shared" si="13"/>
        <v>2.6540876432565335E-4</v>
      </c>
      <c r="CE94">
        <f t="shared" si="13"/>
        <v>1.4319624405305672E-2</v>
      </c>
      <c r="CF94">
        <f t="shared" si="13"/>
        <v>1.8200009815008914E-2</v>
      </c>
      <c r="CG94">
        <f t="shared" si="13"/>
        <v>1.4607473677250361E-2</v>
      </c>
      <c r="CH94">
        <f t="shared" si="13"/>
        <v>2.5299485270605587E-2</v>
      </c>
      <c r="CI94">
        <f t="shared" si="13"/>
        <v>8.8014523788267057E-3</v>
      </c>
      <c r="CJ94">
        <f t="shared" si="13"/>
        <v>1.6356177295485169E-3</v>
      </c>
      <c r="CK94">
        <f t="shared" si="13"/>
        <v>4.0652653996048359E-2</v>
      </c>
      <c r="CL94">
        <f t="shared" si="13"/>
        <v>3.9992211742540237E-2</v>
      </c>
      <c r="CM94">
        <f t="shared" si="13"/>
        <v>1.5031024770176623E-2</v>
      </c>
      <c r="CN94">
        <f t="shared" si="13"/>
        <v>1.289219920049961E-2</v>
      </c>
      <c r="CO94">
        <f>AVERAGE(J94:CN94)</f>
        <v>1.3908465883624214E-2</v>
      </c>
    </row>
    <row r="95" spans="1:93" x14ac:dyDescent="0.2">
      <c r="I95" s="12" t="s">
        <v>416</v>
      </c>
      <c r="J95">
        <f>COUNTIF(J81:J93,"&gt;0")</f>
        <v>7</v>
      </c>
      <c r="K95">
        <f t="shared" ref="K95:BV95" si="14">COUNTIF(K81:K93,"&gt;0")</f>
        <v>5</v>
      </c>
      <c r="L95">
        <f t="shared" si="14"/>
        <v>10</v>
      </c>
      <c r="M95">
        <f t="shared" si="14"/>
        <v>6</v>
      </c>
      <c r="N95">
        <f t="shared" si="14"/>
        <v>6</v>
      </c>
      <c r="O95">
        <f t="shared" si="14"/>
        <v>5</v>
      </c>
      <c r="P95">
        <f t="shared" si="14"/>
        <v>5</v>
      </c>
      <c r="Q95">
        <f t="shared" si="14"/>
        <v>3</v>
      </c>
      <c r="R95">
        <f t="shared" si="14"/>
        <v>5</v>
      </c>
      <c r="S95">
        <f t="shared" si="14"/>
        <v>2</v>
      </c>
      <c r="T95">
        <f t="shared" si="14"/>
        <v>4</v>
      </c>
      <c r="U95">
        <f t="shared" si="14"/>
        <v>6</v>
      </c>
      <c r="V95">
        <f t="shared" si="14"/>
        <v>6</v>
      </c>
      <c r="W95">
        <f t="shared" si="14"/>
        <v>7</v>
      </c>
      <c r="X95">
        <f t="shared" si="14"/>
        <v>5</v>
      </c>
      <c r="Y95">
        <f t="shared" si="14"/>
        <v>6</v>
      </c>
      <c r="Z95">
        <f t="shared" si="14"/>
        <v>5</v>
      </c>
      <c r="AA95">
        <f t="shared" si="14"/>
        <v>6</v>
      </c>
      <c r="AB95">
        <f t="shared" si="14"/>
        <v>6</v>
      </c>
      <c r="AC95">
        <f t="shared" si="14"/>
        <v>3</v>
      </c>
      <c r="AD95">
        <f t="shared" si="14"/>
        <v>5</v>
      </c>
      <c r="AE95">
        <f t="shared" si="14"/>
        <v>5</v>
      </c>
      <c r="AF95">
        <f t="shared" si="14"/>
        <v>5</v>
      </c>
      <c r="AG95">
        <f t="shared" si="14"/>
        <v>6</v>
      </c>
      <c r="AH95">
        <f t="shared" si="14"/>
        <v>6</v>
      </c>
      <c r="AI95">
        <f t="shared" si="14"/>
        <v>6</v>
      </c>
      <c r="AJ95">
        <f t="shared" si="14"/>
        <v>7</v>
      </c>
      <c r="AK95">
        <f t="shared" si="14"/>
        <v>4</v>
      </c>
      <c r="AL95">
        <f t="shared" si="14"/>
        <v>7</v>
      </c>
      <c r="AM95">
        <f t="shared" si="14"/>
        <v>5</v>
      </c>
      <c r="AN95">
        <f t="shared" si="14"/>
        <v>7</v>
      </c>
      <c r="AO95">
        <f t="shared" si="14"/>
        <v>3</v>
      </c>
      <c r="AP95">
        <f t="shared" si="14"/>
        <v>6</v>
      </c>
      <c r="AQ95">
        <f t="shared" si="14"/>
        <v>4</v>
      </c>
      <c r="AR95">
        <f t="shared" si="14"/>
        <v>7</v>
      </c>
      <c r="AS95">
        <f t="shared" si="14"/>
        <v>5</v>
      </c>
      <c r="AT95">
        <f t="shared" si="14"/>
        <v>6</v>
      </c>
      <c r="AU95">
        <f t="shared" si="14"/>
        <v>6</v>
      </c>
      <c r="AV95">
        <f t="shared" si="14"/>
        <v>3</v>
      </c>
      <c r="AW95">
        <f t="shared" si="14"/>
        <v>6</v>
      </c>
      <c r="AX95">
        <f t="shared" si="14"/>
        <v>6</v>
      </c>
      <c r="AY95">
        <f t="shared" si="14"/>
        <v>5</v>
      </c>
      <c r="AZ95">
        <f t="shared" si="14"/>
        <v>3</v>
      </c>
      <c r="BA95">
        <f t="shared" si="14"/>
        <v>3</v>
      </c>
      <c r="BB95">
        <f t="shared" si="14"/>
        <v>5</v>
      </c>
      <c r="BC95">
        <f t="shared" si="14"/>
        <v>4</v>
      </c>
      <c r="BD95">
        <f t="shared" si="14"/>
        <v>5</v>
      </c>
      <c r="BE95">
        <f t="shared" si="14"/>
        <v>6</v>
      </c>
      <c r="BF95">
        <f t="shared" si="14"/>
        <v>5</v>
      </c>
      <c r="BG95">
        <f t="shared" si="14"/>
        <v>6</v>
      </c>
      <c r="BH95">
        <f t="shared" si="14"/>
        <v>4</v>
      </c>
      <c r="BI95">
        <f t="shared" si="14"/>
        <v>5</v>
      </c>
      <c r="BJ95">
        <f t="shared" si="14"/>
        <v>5</v>
      </c>
      <c r="BK95">
        <f t="shared" si="14"/>
        <v>6</v>
      </c>
      <c r="BL95">
        <f t="shared" si="14"/>
        <v>3</v>
      </c>
      <c r="BM95">
        <f t="shared" si="14"/>
        <v>7</v>
      </c>
      <c r="BN95">
        <f t="shared" si="14"/>
        <v>5</v>
      </c>
      <c r="BO95">
        <f t="shared" si="14"/>
        <v>4</v>
      </c>
      <c r="BP95">
        <f t="shared" si="14"/>
        <v>4</v>
      </c>
      <c r="BQ95">
        <f t="shared" si="14"/>
        <v>7</v>
      </c>
      <c r="BR95">
        <f t="shared" si="14"/>
        <v>5</v>
      </c>
      <c r="BS95">
        <f t="shared" si="14"/>
        <v>5</v>
      </c>
      <c r="BT95">
        <f t="shared" si="14"/>
        <v>5</v>
      </c>
      <c r="BU95">
        <f t="shared" si="14"/>
        <v>6</v>
      </c>
      <c r="BV95">
        <f t="shared" si="14"/>
        <v>6</v>
      </c>
      <c r="BW95">
        <f t="shared" ref="BW95:CN95" si="15">COUNTIF(BW81:BW93,"&gt;0")</f>
        <v>7</v>
      </c>
      <c r="BX95">
        <f t="shared" si="15"/>
        <v>3</v>
      </c>
      <c r="BY95">
        <f t="shared" si="15"/>
        <v>3</v>
      </c>
      <c r="BZ95">
        <f t="shared" si="15"/>
        <v>4</v>
      </c>
      <c r="CA95">
        <f t="shared" si="15"/>
        <v>3</v>
      </c>
      <c r="CB95">
        <f t="shared" si="15"/>
        <v>5</v>
      </c>
      <c r="CC95">
        <f t="shared" si="15"/>
        <v>6</v>
      </c>
      <c r="CD95">
        <f t="shared" si="15"/>
        <v>5</v>
      </c>
      <c r="CE95">
        <f t="shared" si="15"/>
        <v>8</v>
      </c>
      <c r="CF95">
        <f t="shared" si="15"/>
        <v>6</v>
      </c>
      <c r="CG95">
        <f t="shared" si="15"/>
        <v>3</v>
      </c>
      <c r="CH95">
        <f t="shared" si="15"/>
        <v>5</v>
      </c>
      <c r="CI95">
        <f t="shared" si="15"/>
        <v>5</v>
      </c>
      <c r="CJ95">
        <f t="shared" si="15"/>
        <v>5</v>
      </c>
      <c r="CK95">
        <f t="shared" si="15"/>
        <v>4</v>
      </c>
      <c r="CL95">
        <f t="shared" si="15"/>
        <v>5</v>
      </c>
      <c r="CM95">
        <f t="shared" si="15"/>
        <v>5</v>
      </c>
      <c r="CN95">
        <f t="shared" si="15"/>
        <v>5</v>
      </c>
      <c r="CO95">
        <f>AVERAGE(J95:CN95)</f>
        <v>5.168674698795181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EBD0-834D-4494-810B-51F01824922E}">
  <dimension ref="A1:F6"/>
  <sheetViews>
    <sheetView workbookViewId="0">
      <selection activeCell="N41" sqref="N41"/>
    </sheetView>
  </sheetViews>
  <sheetFormatPr defaultRowHeight="14.25" x14ac:dyDescent="0.2"/>
  <sheetData>
    <row r="1" spans="1:6" x14ac:dyDescent="0.2">
      <c r="A1" s="5" t="s">
        <v>393</v>
      </c>
      <c r="B1" s="5" t="s">
        <v>405</v>
      </c>
      <c r="E1" s="5" t="s">
        <v>393</v>
      </c>
      <c r="F1" s="5" t="s">
        <v>412</v>
      </c>
    </row>
    <row r="2" spans="1:6" x14ac:dyDescent="0.2">
      <c r="A2" s="5" t="s">
        <v>401</v>
      </c>
      <c r="B2">
        <v>1.0939104213037173E-2</v>
      </c>
      <c r="E2" s="5" t="s">
        <v>401</v>
      </c>
      <c r="F2">
        <v>11</v>
      </c>
    </row>
    <row r="3" spans="1:6" x14ac:dyDescent="0.2">
      <c r="A3" s="5" t="s">
        <v>402</v>
      </c>
      <c r="B3">
        <v>9.0877262414336378E-3</v>
      </c>
      <c r="E3" s="5" t="s">
        <v>402</v>
      </c>
      <c r="F3">
        <v>8</v>
      </c>
    </row>
    <row r="4" spans="1:6" x14ac:dyDescent="0.2">
      <c r="A4" s="5" t="s">
        <v>403</v>
      </c>
      <c r="B4">
        <v>3.8566160594855725E-3</v>
      </c>
      <c r="E4" s="5" t="s">
        <v>403</v>
      </c>
      <c r="F4">
        <v>8</v>
      </c>
    </row>
    <row r="5" spans="1:6" x14ac:dyDescent="0.2">
      <c r="A5" s="5" t="s">
        <v>404</v>
      </c>
      <c r="B5">
        <v>1.3908465883624214E-2</v>
      </c>
      <c r="E5" s="5" t="s">
        <v>404</v>
      </c>
      <c r="F5">
        <v>5</v>
      </c>
    </row>
    <row r="6" spans="1:6" x14ac:dyDescent="0.2">
      <c r="A6" s="5" t="s">
        <v>406</v>
      </c>
      <c r="B6">
        <v>8.7938456427560818E-2</v>
      </c>
      <c r="E6" s="5" t="s">
        <v>406</v>
      </c>
      <c r="F6">
        <v>38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all detected genes</vt:lpstr>
      <vt:lpstr>detected number_Resistance Mech</vt:lpstr>
      <vt:lpstr>Resistance Mechanism</vt:lpstr>
      <vt:lpstr>relative abundance_drug class</vt:lpstr>
      <vt:lpstr>detected ARG number_drug class</vt:lpstr>
      <vt:lpstr>risk class</vt:lpstr>
      <vt:lpstr>pie_risk_abundance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yifang Zhang</dc:creator>
  <cp:lastModifiedBy>Qian Xiang</cp:lastModifiedBy>
  <dcterms:created xsi:type="dcterms:W3CDTF">2015-06-05T18:19:00Z</dcterms:created>
  <dcterms:modified xsi:type="dcterms:W3CDTF">2026-09-17T08:59:40Z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D77CECC2B3A04EA3B7BC529D6BDD3157_12</vt:lpwstr>
  </property>
  <property fmtid="{D5CDD505-2E9C-101B-9397-08002B2CF9AE}" pid="3" name="KSOProductBuildVer">
    <vt:lpwstr>2052-12.1.0.18912</vt:lpwstr>
  </property>
</Properties>
</file>