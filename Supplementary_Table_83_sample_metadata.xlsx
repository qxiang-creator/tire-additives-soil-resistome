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aiduSyncdisk\全国高速服务区数据\response0812\SI\"/>
    </mc:Choice>
  </mc:AlternateContent>
  <xr:revisionPtr revIDLastSave="0" documentId="13_ncr:1_{133D680A-7936-4028-B978-B4256ECE358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ample_metadata_83" sheetId="1" r:id="rId1"/>
    <sheet name="Metagenome_21" sheetId="2" r:id="rId2"/>
    <sheet name="Coverage_summary" sheetId="3" r:id="rId3"/>
  </sheets>
  <calcPr calcId="0"/>
</workbook>
</file>

<file path=xl/sharedStrings.xml><?xml version="1.0" encoding="utf-8"?>
<sst xmlns="http://schemas.openxmlformats.org/spreadsheetml/2006/main" count="656" uniqueCount="356">
  <si>
    <t>SampleID</t>
  </si>
  <si>
    <t>Metagenomic subset</t>
  </si>
  <si>
    <t>Service area</t>
  </si>
  <si>
    <t>Provincial-level region</t>
  </si>
  <si>
    <t>City</t>
  </si>
  <si>
    <t>Longitude</t>
  </si>
  <si>
    <t>Latitude</t>
  </si>
  <si>
    <t>Soil moisture (%)</t>
  </si>
  <si>
    <t>pH</t>
  </si>
  <si>
    <t>EC (µS cm⁻¹)</t>
  </si>
  <si>
    <t>Total N (%)</t>
  </si>
  <si>
    <t>Total C (%)</t>
  </si>
  <si>
    <t>DOC (mg kg⁻¹ soil)</t>
  </si>
  <si>
    <t>NH4+-N (mg kg⁻¹ soil)</t>
  </si>
  <si>
    <t>NO3−-N (mg kg⁻¹ soil)</t>
  </si>
  <si>
    <t>TAC (µg kg⁻¹ soil)</t>
  </si>
  <si>
    <t>Measured compound richness</t>
  </si>
  <si>
    <t>Total ARG abundance (copies per 16S rRNA gene)</t>
  </si>
  <si>
    <t>Total ARG richness</t>
  </si>
  <si>
    <t>Q1 ARG abundance (copies per 16S rRNA gene)</t>
  </si>
  <si>
    <t>Q1 ARG richness</t>
  </si>
  <si>
    <t>S1</t>
  </si>
  <si>
    <t>No</t>
  </si>
  <si>
    <t>S2</t>
  </si>
  <si>
    <t>S3</t>
  </si>
  <si>
    <t>S4</t>
  </si>
  <si>
    <t>S5</t>
  </si>
  <si>
    <t>Yes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</si>
  <si>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</si>
  <si>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</si>
  <si>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</si>
  <si>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</si>
  <si>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</si>
  <si>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</si>
  <si>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</si>
  <si>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</si>
  <si>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</si>
  <si>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</si>
  <si>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</si>
  <si>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</si>
  <si>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</si>
  <si>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</si>
  <si>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</si>
  <si>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</si>
  <si>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</si>
  <si>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</si>
  <si>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</si>
  <si>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</si>
  <si>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</si>
  <si>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</si>
  <si>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</si>
  <si>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</si>
  <si>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</si>
  <si>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</si>
  <si>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</si>
  <si>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</si>
  <si>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</si>
  <si>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</si>
  <si>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</si>
  <si>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</si>
  <si>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</si>
  <si>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</si>
  <si>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</si>
  <si>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</si>
  <si>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</si>
  <si>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</si>
  <si>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</si>
  <si>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</si>
  <si>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</si>
  <si>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</si>
  <si>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</si>
  <si>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</si>
  <si>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</si>
  <si>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</si>
  <si>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</si>
  <si>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</si>
  <si>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</si>
  <si>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</si>
  <si>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</si>
  <si>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</si>
  <si>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</si>
  <si>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</si>
  <si>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</si>
  <si>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</si>
  <si>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</si>
  <si>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</si>
  <si>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</si>
  <si>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</si>
  <si>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</si>
  <si>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</si>
  <si>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</si>
  <si>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</si>
  <si>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</si>
  <si>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</si>
  <si>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</si>
  <si>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</si>
  <si>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</si>
  <si>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</si>
  <si>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</si>
  <si>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</si>
  <si>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</si>
  <si>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</si>
  <si>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</si>
  <si>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S82</t>
  </si>
  <si>
    <t>S83</t>
  </si>
  <si>
    <t>S84</t>
  </si>
  <si>
    <t>Variable</t>
  </si>
  <si>
    <t>Full dataset n</t>
  </si>
  <si>
    <t>Full dataset range</t>
  </si>
  <si>
    <t>Full median</t>
  </si>
  <si>
    <t>Metagenome n</t>
  </si>
  <si>
    <t>Metagenome range</t>
  </si>
  <si>
    <t>Metagenome median</t>
  </si>
  <si>
    <t>106.64–130.42</t>
  </si>
  <si>
    <t>115.98</t>
  </si>
  <si>
    <t>106.68–129.45</t>
  </si>
  <si>
    <t>113.80</t>
  </si>
  <si>
    <t>18.46–49.24</t>
  </si>
  <si>
    <t>31.42</t>
  </si>
  <si>
    <t>18.46–47.43</t>
  </si>
  <si>
    <t>31.85</t>
  </si>
  <si>
    <t>1.10–74.37</t>
  </si>
  <si>
    <t>19.35</t>
  </si>
  <si>
    <t>3.88–34.23</t>
  </si>
  <si>
    <t>18.88</t>
  </si>
  <si>
    <t>4.85–9.88</t>
  </si>
  <si>
    <t>7.51</t>
  </si>
  <si>
    <t>5.34–8.26</t>
  </si>
  <si>
    <t>7.62</t>
  </si>
  <si>
    <t>3.12–2235.00</t>
  </si>
  <si>
    <t>247.10</t>
  </si>
  <si>
    <t>4.30–753.50</t>
  </si>
  <si>
    <t>214.10</t>
  </si>
  <si>
    <t>0.01–0.77</t>
  </si>
  <si>
    <t>0.14</t>
  </si>
  <si>
    <t>0.02–0.36</t>
  </si>
  <si>
    <t>0.13</t>
  </si>
  <si>
    <t>0.04–4.77</t>
  </si>
  <si>
    <t>1.82</t>
  </si>
  <si>
    <t>0.54–4.59</t>
  </si>
  <si>
    <t>1.49</t>
  </si>
  <si>
    <t>6.72–553.34</t>
  </si>
  <si>
    <t>115.81</t>
  </si>
  <si>
    <t>7.51–553.34</t>
  </si>
  <si>
    <t>106.26</t>
  </si>
  <si>
    <t>1.41–325.40</t>
  </si>
  <si>
    <t>6.44</t>
  </si>
  <si>
    <t>2.54–36.47</t>
  </si>
  <si>
    <t>6.08</t>
  </si>
  <si>
    <t>6.45–608.79</t>
  </si>
  <si>
    <t>43.58</t>
  </si>
  <si>
    <t>5.32–261.11</t>
  </si>
  <si>
    <t>60.18</t>
  </si>
  <si>
    <t>23.02–101.09</t>
  </si>
  <si>
    <t>53.68</t>
  </si>
  <si>
    <t>15–27</t>
  </si>
  <si>
    <t>22</t>
  </si>
  <si>
    <t>17–24</t>
  </si>
  <si>
    <t>Total ARG abundance</t>
  </si>
  <si>
    <t>0.0199–0.2713</t>
  </si>
  <si>
    <t>0.1189</t>
  </si>
  <si>
    <t>0.0565–0.2713</t>
  </si>
  <si>
    <t>0.1429</t>
  </si>
  <si>
    <t>29–108</t>
  </si>
  <si>
    <t>79</t>
  </si>
  <si>
    <t>51–106</t>
  </si>
  <si>
    <t>Q1 ARG abundance</t>
  </si>
  <si>
    <t>0.0001–0.1176</t>
  </si>
  <si>
    <t>0.0071</t>
  </si>
  <si>
    <t>0.0014–0.0309</t>
  </si>
  <si>
    <t>0.0082</t>
  </si>
  <si>
    <t>2–21</t>
  </si>
  <si>
    <t>10</t>
  </si>
  <si>
    <t>7–19</t>
  </si>
  <si>
    <t>Geographic summary</t>
  </si>
  <si>
    <t>Full dataset</t>
  </si>
  <si>
    <t>Number of samples</t>
  </si>
  <si>
    <t>Provincial-level regions</t>
  </si>
  <si>
    <t>Note</t>
  </si>
  <si>
    <t>The metagenomic subset is not one sample per region; Zhejiang, Guangdong, and Shaanxi each contribute two samples.</t>
  </si>
  <si>
    <t>Panhuo Service Station</t>
  </si>
  <si>
    <t>Zhejiang</t>
  </si>
  <si>
    <t>Ningbo</t>
  </si>
  <si>
    <t>Shaoxing Service Area</t>
  </si>
  <si>
    <t>Shaoxing</t>
  </si>
  <si>
    <t>Qingshan Service Area</t>
  </si>
  <si>
    <t>Huzhou</t>
  </si>
  <si>
    <t>Yixing Service Area</t>
  </si>
  <si>
    <t>Jiangsu</t>
  </si>
  <si>
    <t>Wuxi</t>
  </si>
  <si>
    <t>Dasi Service Area</t>
  </si>
  <si>
    <t>Taizhou</t>
  </si>
  <si>
    <t>Sheyang Service Area</t>
  </si>
  <si>
    <t>Yancheng</t>
  </si>
  <si>
    <t>Guanyun Service Area</t>
  </si>
  <si>
    <t>Lianyungang</t>
  </si>
  <si>
    <t>Rizhao Service Area</t>
  </si>
  <si>
    <t>Shandong</t>
  </si>
  <si>
    <t>Rizhao</t>
  </si>
  <si>
    <t>Jiaozhou Service Area</t>
  </si>
  <si>
    <t>Qingdao</t>
  </si>
  <si>
    <t>Haiyang Service Area</t>
  </si>
  <si>
    <t>Yantai</t>
  </si>
  <si>
    <t>Wendeng Service Area</t>
  </si>
  <si>
    <t>Weihai</t>
  </si>
  <si>
    <t>Pingdu Service Area</t>
  </si>
  <si>
    <t>Qingzhou Service Area</t>
  </si>
  <si>
    <t>Weifang</t>
  </si>
  <si>
    <t>Tianqiao Service Area</t>
  </si>
  <si>
    <t>Jinan</t>
  </si>
  <si>
    <t>Dongchangfu Service Area</t>
  </si>
  <si>
    <t>Liaocheng</t>
  </si>
  <si>
    <t>Heze Service Area</t>
  </si>
  <si>
    <t>Heze</t>
  </si>
  <si>
    <t>Xinji Service Area</t>
  </si>
  <si>
    <t>Anhui</t>
  </si>
  <si>
    <t>Bozhou</t>
  </si>
  <si>
    <t>Hongxing Service Area</t>
  </si>
  <si>
    <t>Fuyang</t>
  </si>
  <si>
    <t>Xiqiao Service Area</t>
  </si>
  <si>
    <t>Lu'an</t>
  </si>
  <si>
    <t>Gongling Service Area</t>
  </si>
  <si>
    <t>Anqing</t>
  </si>
  <si>
    <t>Xiaochi Service Area</t>
  </si>
  <si>
    <t>Hubei</t>
  </si>
  <si>
    <t>Huanggang</t>
  </si>
  <si>
    <t>Yongxiu Service Area</t>
  </si>
  <si>
    <t>Jiangxi</t>
  </si>
  <si>
    <t>Jiujiang</t>
  </si>
  <si>
    <t>Dexing Service Area</t>
  </si>
  <si>
    <t>Dexing</t>
  </si>
  <si>
    <t>Houwu Service Area</t>
  </si>
  <si>
    <t>Quzhou</t>
  </si>
  <si>
    <t>Dongyang Service Area</t>
  </si>
  <si>
    <t>Jinhua</t>
  </si>
  <si>
    <t>Xiantao Service Area</t>
  </si>
  <si>
    <t>Xiantao</t>
  </si>
  <si>
    <t>Zhijiang West Service Area</t>
  </si>
  <si>
    <t>Yichang</t>
  </si>
  <si>
    <t>Cuiba Service Area</t>
  </si>
  <si>
    <t>Enshi</t>
  </si>
  <si>
    <t>Baiyangtang Service Area</t>
  </si>
  <si>
    <t>Fuling Service Area</t>
  </si>
  <si>
    <t>Chongqing</t>
  </si>
  <si>
    <t>Fuling</t>
  </si>
  <si>
    <t>Zheng'an Service Area</t>
  </si>
  <si>
    <t>Guizhou</t>
  </si>
  <si>
    <t>Zunyi</t>
  </si>
  <si>
    <t>Shangji-Wujiang Service Area</t>
  </si>
  <si>
    <t>Huishui Service Area</t>
  </si>
  <si>
    <t>Qiannan</t>
  </si>
  <si>
    <t>Leye Service Area</t>
  </si>
  <si>
    <t>Guangxi</t>
  </si>
  <si>
    <t>Baise</t>
  </si>
  <si>
    <t>Baise Service Area</t>
  </si>
  <si>
    <t>Tanluo Service Area</t>
  </si>
  <si>
    <t>Nanning</t>
  </si>
  <si>
    <t>Nali Service Area</t>
  </si>
  <si>
    <t>Qinzhou</t>
  </si>
  <si>
    <t>Liangdong Service Area</t>
  </si>
  <si>
    <t>Guangdong</t>
  </si>
  <si>
    <t>Zhanjiang</t>
  </si>
  <si>
    <t>Yangxi Service Area</t>
  </si>
  <si>
    <t>Yangjiang</t>
  </si>
  <si>
    <t>Shangchuan Service Area</t>
  </si>
  <si>
    <t>Jiangmen</t>
  </si>
  <si>
    <t>Dalingshan Service Area</t>
  </si>
  <si>
    <t>Dongguan</t>
  </si>
  <si>
    <t>Lufeng Service Area</t>
  </si>
  <si>
    <t>Shanwei</t>
  </si>
  <si>
    <t>Chaozhou Service Area</t>
  </si>
  <si>
    <t>Chaozhou</t>
  </si>
  <si>
    <t>Baishui Service Area</t>
  </si>
  <si>
    <t>Dongjin Service Area</t>
  </si>
  <si>
    <t>Fujian</t>
  </si>
  <si>
    <t>Putian</t>
  </si>
  <si>
    <t>Luoyuan Service Area</t>
  </si>
  <si>
    <t>Fuzhou</t>
  </si>
  <si>
    <t>Mazhan Service Area</t>
  </si>
  <si>
    <t>Wenzhou</t>
  </si>
  <si>
    <t>Wenling Service Area</t>
  </si>
  <si>
    <t>Xiangshan Service Area</t>
  </si>
  <si>
    <t>Fengjiawan Service Area</t>
  </si>
  <si>
    <t>Hainan</t>
  </si>
  <si>
    <t>Qionghai</t>
  </si>
  <si>
    <t>Lingshui Service Area</t>
  </si>
  <si>
    <t>Lingshui</t>
  </si>
  <si>
    <t>Jiusuo Service Area</t>
  </si>
  <si>
    <t>Ledong</t>
  </si>
  <si>
    <t>Jianling Service Area</t>
  </si>
  <si>
    <t>Changjiang</t>
  </si>
  <si>
    <t>Fushan Service Area</t>
  </si>
  <si>
    <t>Chengmai</t>
  </si>
  <si>
    <t>Leling West Service Area</t>
  </si>
  <si>
    <t>Dezhou</t>
  </si>
  <si>
    <t>Qingfang Service Area</t>
  </si>
  <si>
    <t>Tianjin</t>
  </si>
  <si>
    <t>Binhai New Area</t>
  </si>
  <si>
    <t>Changli Service Area</t>
  </si>
  <si>
    <t>Hebei</t>
  </si>
  <si>
    <t>Qinhuangdao</t>
  </si>
  <si>
    <t>Tashan Service Area</t>
  </si>
  <si>
    <t>Liaoning</t>
  </si>
  <si>
    <t>Huludao</t>
  </si>
  <si>
    <t>Liaozhong Service Area</t>
  </si>
  <si>
    <t>Shenyang</t>
  </si>
  <si>
    <t>Yongling Service Area</t>
  </si>
  <si>
    <t>Fushun</t>
  </si>
  <si>
    <t>Jingyu Service Area</t>
  </si>
  <si>
    <t>Jilin</t>
  </si>
  <si>
    <t>Baishan</t>
  </si>
  <si>
    <t>Liudingshan Service Area</t>
  </si>
  <si>
    <t>Yanbian</t>
  </si>
  <si>
    <t>Bohai Service Area</t>
  </si>
  <si>
    <t>Heilongjiang</t>
  </si>
  <si>
    <t>Mudanjiang</t>
  </si>
  <si>
    <t>Linkou Service Area</t>
  </si>
  <si>
    <t>Gonghehu Service Area</t>
  </si>
  <si>
    <t>Jiamusi</t>
  </si>
  <si>
    <t>Jiayouzhan Service Area</t>
  </si>
  <si>
    <t>Yichun</t>
  </si>
  <si>
    <t>Jianxing Service Area</t>
  </si>
  <si>
    <t>Suihua</t>
  </si>
  <si>
    <t>Wudalianchi Service Area</t>
  </si>
  <si>
    <t>Heihe</t>
  </si>
  <si>
    <t>Nenjiang North Service Area</t>
  </si>
  <si>
    <t>Sanggendalai Service Area</t>
  </si>
  <si>
    <t>Inner Mongolia</t>
  </si>
  <si>
    <t>Xilin Gol League</t>
  </si>
  <si>
    <t>Zhangbei Service Area</t>
  </si>
  <si>
    <t>Zhangjiakou</t>
  </si>
  <si>
    <t>Zhuozishan Service Area</t>
  </si>
  <si>
    <t>Ulanqab</t>
  </si>
  <si>
    <t>Hasuhai Service Area</t>
  </si>
  <si>
    <t>Hohhot</t>
  </si>
  <si>
    <t>Chengling Service Area</t>
  </si>
  <si>
    <t>Ordos</t>
  </si>
  <si>
    <t>Hengshan Service Area</t>
  </si>
  <si>
    <t>Shaanxi</t>
  </si>
  <si>
    <t>Yulin</t>
  </si>
  <si>
    <t>Yan'an West Service Area</t>
  </si>
  <si>
    <t>Yan'an</t>
  </si>
  <si>
    <t>Yuhuagong Service Area</t>
  </si>
  <si>
    <t>Tongchuan</t>
  </si>
  <si>
    <t>Qujiang Service Area</t>
  </si>
  <si>
    <t>Xi'an</t>
  </si>
  <si>
    <t>Ankang North Service Area</t>
  </si>
  <si>
    <t>Ankang</t>
  </si>
  <si>
    <t>Wanyuan South Service Area</t>
  </si>
  <si>
    <t>Sichuan</t>
  </si>
  <si>
    <t>Dazhou</t>
  </si>
  <si>
    <t>Danxia Service Area</t>
  </si>
  <si>
    <t>Shaoguan</t>
  </si>
  <si>
    <t>Ganxian Service Area</t>
  </si>
  <si>
    <t>Ganzhou</t>
  </si>
  <si>
    <t>Le'an Service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</si>
</sst>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"/>
    <numFmt numFmtId="178" formatCode="0.000"/>
    <numFmt numFmtId="179" formatCode="0.000000"/>
  </numFmts>
  <fonts count="4">
    <font>
      <sz val="11"/>
      <name val="Carlito"/>
    </font>
    <font>
      <b/>
      <sz val="11"/>
      <color rgb="FF000000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76" fontId="0" fillId="0" borderId="0" xfId="1" applyNumberFormat="1" applyFont="1"/>
    <xf numFmtId="2" fontId="0" fillId="0" borderId="0" xfId="1" applyNumberFormat="1" applyFont="1"/>
    <xf numFmtId="177" fontId="0" fillId="0" borderId="0" xfId="1" applyNumberFormat="1" applyFont="1"/>
    <xf numFmtId="178" fontId="0" fillId="0" borderId="0" xfId="1" applyNumberFormat="1" applyFont="1"/>
    <xf numFmtId="179" fontId="0" fillId="0" borderId="0" xfId="1" applyNumberFormat="1" applyFont="1"/>
    <xf numFmtId="0" fontId="0" fillId="0" borderId="0" xfId="1" applyFont="1" applyAlignment="1">
      <alignment vertical="center"/>
    </xf>
    <xf numFmtId="176" fontId="0" fillId="0" borderId="0" xfId="1" applyNumberFormat="1" applyFont="1" applyAlignment="1">
      <alignment vertical="center"/>
    </xf>
    <xf numFmtId="2" fontId="0" fillId="0" borderId="0" xfId="1" applyNumberFormat="1" applyFont="1" applyAlignment="1">
      <alignment vertical="center"/>
    </xf>
    <xf numFmtId="177" fontId="0" fillId="0" borderId="0" xfId="1" applyNumberFormat="1" applyFont="1" applyAlignment="1">
      <alignment vertical="center"/>
    </xf>
    <xf numFmtId="178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179" fontId="0" fillId="0" borderId="0" xfId="1" applyNumberFormat="1" applyFont="1" applyAlignment="1">
      <alignment vertical="center"/>
    </xf>
    <xf numFmtId="0" fontId="0" fillId="0" borderId="0" xfId="1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2">
    <cellStyle name="Normal" xfId="1" xr:uid="{00000000-0005-0000-0000-000000000000}"/>
    <cellStyle name="常规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Metadata83" displayName="SampleMetadata83" ref="A1:U84" totalsRowShown="0">
  <tableColumns count="21">
    <tableColumn id="1" xr3:uid="{00000000-0010-0000-0000-000001000000}" name="SampleID"/>
    <tableColumn id="2" xr3:uid="{00000000-0010-0000-0000-000002000000}" name="Metagenomic subset"/>
    <tableColumn id="3" xr3:uid="{00000000-0010-0000-0000-000003000000}" name="Service area"/>
    <tableColumn id="4" xr3:uid="{00000000-0010-0000-0000-000004000000}" name="Provincial-level region"/>
    <tableColumn id="5" xr3:uid="{00000000-0010-0000-0000-000005000000}" name="City"/>
    <tableColumn id="6" xr3:uid="{00000000-0010-0000-0000-000006000000}" name="Longitude"/>
    <tableColumn id="7" xr3:uid="{00000000-0010-0000-0000-000007000000}" name="Latitude"/>
    <tableColumn id="8" xr3:uid="{00000000-0010-0000-0000-000008000000}" name="Soil moisture (%)"/>
    <tableColumn id="9" xr3:uid="{00000000-0010-0000-0000-000009000000}" name="pH"/>
    <tableColumn id="10" xr3:uid="{00000000-0010-0000-0000-00000A000000}" name="EC (µS cm⁻¹)"/>
    <tableColumn id="11" xr3:uid="{00000000-0010-0000-0000-00000B000000}" name="Total N (%)"/>
    <tableColumn id="12" xr3:uid="{00000000-0010-0000-0000-00000C000000}" name="Total C (%)"/>
    <tableColumn id="13" xr3:uid="{00000000-0010-0000-0000-00000D000000}" name="DOC (mg kg⁻¹ soil)"/>
    <tableColumn id="14" xr3:uid="{00000000-0010-0000-0000-00000E000000}" name="NH4+-N (mg kg⁻¹ soil)"/>
    <tableColumn id="15" xr3:uid="{00000000-0010-0000-0000-00000F000000}" name="NO3−-N (mg kg⁻¹ soil)"/>
    <tableColumn id="16" xr3:uid="{00000000-0010-0000-0000-000010000000}" name="TAC (µg kg⁻¹ soil)"/>
    <tableColumn id="17" xr3:uid="{00000000-0010-0000-0000-000011000000}" name="Measured compound richness"/>
    <tableColumn id="18" xr3:uid="{00000000-0010-0000-0000-000012000000}" name="Total ARG abundance (copies per 16S rRNA gene)"/>
    <tableColumn id="19" xr3:uid="{00000000-0010-0000-0000-000013000000}" name="Total ARG richness"/>
    <tableColumn id="20" xr3:uid="{00000000-0010-0000-0000-000014000000}" name="Q1 ARG abundance (copies per 16S rRNA gene)"/>
    <tableColumn id="21" xr3:uid="{00000000-0010-0000-0000-000015000000}" name="Q1 ARG rich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agenome21Metadata" displayName="Metagenome21Metadata" ref="A1:U22" totalsRowShown="0">
  <tableColumns count="21">
    <tableColumn id="1" xr3:uid="{00000000-0010-0000-0100-000001000000}" name="SampleID"/>
    <tableColumn id="2" xr3:uid="{00000000-0010-0000-0100-000002000000}" name="Metagenomic subset"/>
    <tableColumn id="3" xr3:uid="{00000000-0010-0000-0100-000003000000}" name="Service area"/>
    <tableColumn id="4" xr3:uid="{00000000-0010-0000-0100-000004000000}" name="Provincial-level region"/>
    <tableColumn id="5" xr3:uid="{00000000-0010-0000-0100-000005000000}" name="City"/>
    <tableColumn id="6" xr3:uid="{00000000-0010-0000-0100-000006000000}" name="Longitude"/>
    <tableColumn id="7" xr3:uid="{00000000-0010-0000-0100-000007000000}" name="Latitude"/>
    <tableColumn id="8" xr3:uid="{00000000-0010-0000-0100-000008000000}" name="Soil moisture (%)"/>
    <tableColumn id="9" xr3:uid="{00000000-0010-0000-0100-000009000000}" name="pH"/>
    <tableColumn id="10" xr3:uid="{00000000-0010-0000-0100-00000A000000}" name="EC (µS cm⁻¹)"/>
    <tableColumn id="11" xr3:uid="{00000000-0010-0000-0100-00000B000000}" name="Total N (%)"/>
    <tableColumn id="12" xr3:uid="{00000000-0010-0000-0100-00000C000000}" name="Total C (%)"/>
    <tableColumn id="13" xr3:uid="{00000000-0010-0000-0100-00000D000000}" name="DOC (mg kg⁻¹ soil)"/>
    <tableColumn id="14" xr3:uid="{00000000-0010-0000-0100-00000E000000}" name="NH4+-N (mg kg⁻¹ soil)"/>
    <tableColumn id="15" xr3:uid="{00000000-0010-0000-0100-00000F000000}" name="NO3−-N (mg kg⁻¹ soil)"/>
    <tableColumn id="16" xr3:uid="{00000000-0010-0000-0100-000010000000}" name="TAC (µg kg⁻¹ soil)"/>
    <tableColumn id="17" xr3:uid="{00000000-0010-0000-0100-000011000000}" name="Measured compound richness"/>
    <tableColumn id="18" xr3:uid="{00000000-0010-0000-0100-000012000000}" name="Total ARG abundance (copies per 16S rRNA gene)"/>
    <tableColumn id="19" xr3:uid="{00000000-0010-0000-0100-000013000000}" name="Total ARG richness"/>
    <tableColumn id="20" xr3:uid="{00000000-0010-0000-0100-000014000000}" name="Q1 ARG abundance (copies per 16S rRNA gene)"/>
    <tableColumn id="21" xr3:uid="{00000000-0010-0000-0100-000015000000}" name="Q1 ARG richn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verageSummary" displayName="CoverageSummary" ref="A1:G17" totalsRowShown="0">
  <tableColumns count="7">
    <tableColumn id="1" xr3:uid="{00000000-0010-0000-0200-000001000000}" name="Variable"/>
    <tableColumn id="2" xr3:uid="{00000000-0010-0000-0200-000002000000}" name="Full dataset n"/>
    <tableColumn id="3" xr3:uid="{00000000-0010-0000-0200-000003000000}" name="Full dataset range"/>
    <tableColumn id="4" xr3:uid="{00000000-0010-0000-0200-000004000000}" name="Full median"/>
    <tableColumn id="5" xr3:uid="{00000000-0010-0000-0200-000005000000}" name="Metagenome n"/>
    <tableColumn id="6" xr3:uid="{00000000-0010-0000-0200-000006000000}" name="Metagenome range"/>
    <tableColumn id="7" xr3:uid="{00000000-0010-0000-0200-000007000000}" name="Metagenome me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tabSelected="1" workbookViewId="0">
      <selection activeCell="S2" sqref="S2:S84"/>
    </sheetView>
  </sheetViews>
  <sheetFormatPr defaultRowHeight="14.25"/>
  <cols>
    <col min="1" max="1" width="10" customWidth="1"/>
    <col min="2" max="2" width="18" customWidth="1"/>
    <col min="3" max="3" width="30" customWidth="1"/>
    <col min="4" max="4" width="22" customWidth="1"/>
    <col min="5" max="5" width="18" customWidth="1"/>
    <col min="6" max="7" width="12" customWidth="1"/>
    <col min="8" max="8" width="18" customWidth="1"/>
    <col min="9" max="9" width="9" customWidth="1"/>
    <col min="10" max="10" width="14" customWidth="1"/>
    <col min="11" max="12" width="12" customWidth="1"/>
    <col min="13" max="13" width="18" customWidth="1"/>
    <col min="14" max="15" width="20" customWidth="1"/>
    <col min="16" max="16" width="18" customWidth="1"/>
    <col min="17" max="17" width="24" customWidth="1"/>
    <col min="18" max="18" width="38" customWidth="1"/>
    <col min="19" max="19" width="18" customWidth="1"/>
    <col min="20" max="20" width="34" customWidth="1"/>
    <col min="21" max="21" width="16" customWidth="1"/>
  </cols>
  <sheetData>
    <row r="1" spans="1:21" ht="42" customHeight="1">
      <c r="A1" s="1" t="s">
        <v>0</v>
      </c>
      <c r="B1" s="1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7" t="s">
        <v>21</v>
      </c>
      <c r="B2" s="7" t="s">
        <v>22</v>
      </c>
      <c r="C2" s="16" t="s">
        <v>180</v>
      </c>
      <c r="D2" s="16" t="s">
        <v>181</v>
      </c>
      <c r="E2" s="16" t="s">
        <v>182</v>
      </c>
      <c r="F2" s="8">
        <v>121.58020019999999</v>
      </c>
      <c r="G2" s="8">
        <v>29.8406439</v>
      </c>
      <c r="H2" s="9">
        <v>21.131848284166168</v>
      </c>
      <c r="I2" s="9">
        <v>5.9</v>
      </c>
      <c r="J2" s="10">
        <v>286.5</v>
      </c>
      <c r="K2" s="11">
        <v>0.16704711318016052</v>
      </c>
      <c r="L2" s="11">
        <v>2.0198404788970947</v>
      </c>
      <c r="M2" s="9">
        <v>176.25341727436196</v>
      </c>
      <c r="N2" s="9">
        <v>1.5713009559455899</v>
      </c>
      <c r="O2" s="9">
        <v>112.02686138581937</v>
      </c>
      <c r="P2" s="9">
        <v>241.73205369999999</v>
      </c>
      <c r="Q2" s="12">
        <v>24</v>
      </c>
      <c r="R2" s="13">
        <v>0.119727658</v>
      </c>
      <c r="S2" s="12">
        <v>76</v>
      </c>
      <c r="T2" s="13">
        <v>1.7936284E-2</v>
      </c>
      <c r="U2" s="12">
        <v>14</v>
      </c>
    </row>
    <row r="3" spans="1:21">
      <c r="A3" s="7" t="s">
        <v>23</v>
      </c>
      <c r="B3" s="7" t="s">
        <v>22</v>
      </c>
      <c r="C3" s="16" t="s">
        <v>183</v>
      </c>
      <c r="D3" s="16" t="s">
        <v>181</v>
      </c>
      <c r="E3" s="16" t="s">
        <v>184</v>
      </c>
      <c r="F3" s="8">
        <v>120.6428433</v>
      </c>
      <c r="G3" s="8">
        <v>30.10013803</v>
      </c>
      <c r="H3" s="9">
        <v>74.371087752450677</v>
      </c>
      <c r="I3" s="9">
        <v>6.58</v>
      </c>
      <c r="J3" s="10">
        <v>690</v>
      </c>
      <c r="K3" s="11">
        <v>0.16305962204933167</v>
      </c>
      <c r="L3" s="11">
        <v>2.4960529804229736</v>
      </c>
      <c r="M3" s="9">
        <v>12.051840915415802</v>
      </c>
      <c r="N3" s="9">
        <v>3.3191397096773674</v>
      </c>
      <c r="O3" s="9">
        <v>367.03758650836579</v>
      </c>
      <c r="P3" s="9">
        <v>162.5964792</v>
      </c>
      <c r="Q3" s="12">
        <v>23</v>
      </c>
      <c r="R3" s="13">
        <v>0.115489442</v>
      </c>
      <c r="S3" s="12">
        <v>76</v>
      </c>
      <c r="T3" s="13">
        <v>2.6853696E-2</v>
      </c>
      <c r="U3" s="12">
        <v>15</v>
      </c>
    </row>
    <row r="4" spans="1:21">
      <c r="A4" s="7" t="s">
        <v>24</v>
      </c>
      <c r="B4" s="7" t="s">
        <v>22</v>
      </c>
      <c r="C4" s="16" t="s">
        <v>185</v>
      </c>
      <c r="D4" s="16" t="s">
        <v>181</v>
      </c>
      <c r="E4" s="16" t="s">
        <v>186</v>
      </c>
      <c r="F4" s="8">
        <v>120.05310059999999</v>
      </c>
      <c r="G4" s="8">
        <v>30.66626595</v>
      </c>
      <c r="H4" s="9">
        <v>9.7460045662100487</v>
      </c>
      <c r="I4" s="9">
        <v>7.08</v>
      </c>
      <c r="J4" s="10">
        <v>370.8</v>
      </c>
      <c r="K4" s="11">
        <v>0.33321812748908997</v>
      </c>
      <c r="L4" s="11">
        <v>3.293959379196167</v>
      </c>
      <c r="M4" s="9">
        <v>182.94167233940726</v>
      </c>
      <c r="N4" s="9">
        <v>1.7701230889932034</v>
      </c>
      <c r="O4" s="9">
        <v>110.04830262694892</v>
      </c>
      <c r="P4" s="9">
        <v>168.47212329999999</v>
      </c>
      <c r="Q4" s="12">
        <v>27</v>
      </c>
      <c r="R4" s="13">
        <v>0.20406069800000001</v>
      </c>
      <c r="S4" s="12">
        <v>100</v>
      </c>
      <c r="T4" s="13">
        <v>2.9139293E-2</v>
      </c>
      <c r="U4" s="12">
        <v>17</v>
      </c>
    </row>
    <row r="5" spans="1:21">
      <c r="A5" s="7" t="s">
        <v>25</v>
      </c>
      <c r="B5" s="7" t="s">
        <v>22</v>
      </c>
      <c r="C5" s="16" t="s">
        <v>187</v>
      </c>
      <c r="D5" s="16" t="s">
        <v>188</v>
      </c>
      <c r="E5" s="16" t="s">
        <v>189</v>
      </c>
      <c r="F5" s="8">
        <v>119.8199415</v>
      </c>
      <c r="G5" s="8">
        <v>31.422108040000001</v>
      </c>
      <c r="H5" s="9">
        <v>41.225327340238408</v>
      </c>
      <c r="I5" s="9">
        <v>4.8499999999999996</v>
      </c>
      <c r="J5" s="10">
        <v>1751</v>
      </c>
      <c r="K5" s="11">
        <v>0.4568849503993988</v>
      </c>
      <c r="L5" s="11">
        <v>4.2603573799133301</v>
      </c>
      <c r="M5" s="9">
        <v>420.88043259985255</v>
      </c>
      <c r="N5" s="9">
        <v>2.713479917847669</v>
      </c>
      <c r="O5" s="9">
        <v>253.55468084806088</v>
      </c>
      <c r="P5" s="9">
        <v>188.50297399999999</v>
      </c>
      <c r="Q5" s="12">
        <v>20</v>
      </c>
      <c r="R5" s="13">
        <v>0.239590303</v>
      </c>
      <c r="S5" s="12">
        <v>90</v>
      </c>
      <c r="T5" s="13">
        <v>0.11764280100000001</v>
      </c>
      <c r="U5" s="12">
        <v>18</v>
      </c>
    </row>
    <row r="6" spans="1:21">
      <c r="A6" s="7" t="s">
        <v>26</v>
      </c>
      <c r="B6" s="7" t="s">
        <v>27</v>
      </c>
      <c r="C6" s="16" t="s">
        <v>190</v>
      </c>
      <c r="D6" s="16" t="s">
        <v>188</v>
      </c>
      <c r="E6" s="16" t="s">
        <v>191</v>
      </c>
      <c r="F6" s="8">
        <v>119.9922037</v>
      </c>
      <c r="G6" s="8">
        <v>32.398298390000001</v>
      </c>
      <c r="H6" s="9">
        <v>11.257373825649974</v>
      </c>
      <c r="I6" s="9">
        <v>7.68</v>
      </c>
      <c r="J6" s="10">
        <v>753.5</v>
      </c>
      <c r="K6" s="11">
        <v>5.4848551750183105E-2</v>
      </c>
      <c r="L6" s="11">
        <v>1.0544371604919434</v>
      </c>
      <c r="M6" s="9">
        <v>103.83127276593711</v>
      </c>
      <c r="N6" s="9">
        <v>2.5435508388911465</v>
      </c>
      <c r="O6" s="9">
        <v>135.16943806286318</v>
      </c>
      <c r="P6" s="9">
        <v>36.879246670000001</v>
      </c>
      <c r="Q6" s="12">
        <v>17</v>
      </c>
      <c r="R6" s="13">
        <v>7.6332102999999998E-2</v>
      </c>
      <c r="S6" s="12">
        <v>64</v>
      </c>
      <c r="T6" s="13">
        <v>1.1499669000000001E-2</v>
      </c>
      <c r="U6" s="12">
        <v>10</v>
      </c>
    </row>
    <row r="7" spans="1:21">
      <c r="A7" s="7" t="s">
        <v>28</v>
      </c>
      <c r="B7" s="7" t="s">
        <v>22</v>
      </c>
      <c r="C7" s="16" t="s">
        <v>192</v>
      </c>
      <c r="D7" s="16" t="s">
        <v>188</v>
      </c>
      <c r="E7" s="16" t="s">
        <v>193</v>
      </c>
      <c r="F7" s="8">
        <v>120.21193030000001</v>
      </c>
      <c r="G7" s="8">
        <v>33.553948810000001</v>
      </c>
      <c r="H7" s="9">
        <v>24.084157107363747</v>
      </c>
      <c r="I7" s="9">
        <v>7.87</v>
      </c>
      <c r="J7" s="10">
        <v>514.79999999999995</v>
      </c>
      <c r="K7" s="11">
        <v>5.0967909395694733E-2</v>
      </c>
      <c r="L7" s="11">
        <v>1.1482527256011963</v>
      </c>
      <c r="M7" s="9">
        <v>83.468322877851634</v>
      </c>
      <c r="N7" s="9">
        <v>1.4769299936574558</v>
      </c>
      <c r="O7" s="9">
        <v>16.891574707519286</v>
      </c>
      <c r="P7" s="9">
        <v>49.558882939999997</v>
      </c>
      <c r="Q7" s="12">
        <v>21</v>
      </c>
      <c r="R7" s="13">
        <v>6.2791547000000003E-2</v>
      </c>
      <c r="S7" s="12">
        <v>66</v>
      </c>
      <c r="T7" s="13">
        <v>3.3687470000000001E-3</v>
      </c>
      <c r="U7" s="12">
        <v>12</v>
      </c>
    </row>
    <row r="8" spans="1:21">
      <c r="A8" s="7" t="s">
        <v>29</v>
      </c>
      <c r="B8" s="7" t="s">
        <v>22</v>
      </c>
      <c r="C8" s="16" t="s">
        <v>194</v>
      </c>
      <c r="D8" s="16" t="s">
        <v>188</v>
      </c>
      <c r="E8" s="16" t="s">
        <v>195</v>
      </c>
      <c r="F8" s="8">
        <v>119.436279</v>
      </c>
      <c r="G8" s="8">
        <v>34.348874000000002</v>
      </c>
      <c r="H8" s="9">
        <v>25.005951908578677</v>
      </c>
      <c r="I8" s="9">
        <v>7.73</v>
      </c>
      <c r="J8" s="10">
        <v>386</v>
      </c>
      <c r="K8" s="11">
        <v>0.22965244948863983</v>
      </c>
      <c r="L8" s="11">
        <v>3.2661545276641846</v>
      </c>
      <c r="M8" s="9">
        <v>299.11300367091508</v>
      </c>
      <c r="N8" s="9">
        <v>2.2392990604334844</v>
      </c>
      <c r="O8" s="9">
        <v>45.567707349961083</v>
      </c>
      <c r="P8" s="9">
        <v>82.168277810000006</v>
      </c>
      <c r="Q8" s="12">
        <v>25</v>
      </c>
      <c r="R8" s="13">
        <v>0.196279334</v>
      </c>
      <c r="S8" s="12">
        <v>70</v>
      </c>
      <c r="T8" s="13">
        <v>1.0428114E-2</v>
      </c>
      <c r="U8" s="12">
        <v>9</v>
      </c>
    </row>
    <row r="9" spans="1:21">
      <c r="A9" s="7" t="s">
        <v>30</v>
      </c>
      <c r="B9" s="7" t="s">
        <v>22</v>
      </c>
      <c r="C9" s="16" t="s">
        <v>196</v>
      </c>
      <c r="D9" s="16" t="s">
        <v>197</v>
      </c>
      <c r="E9" s="16" t="s">
        <v>198</v>
      </c>
      <c r="F9" s="8">
        <v>119.3774414</v>
      </c>
      <c r="G9" s="8">
        <v>35.371135019999997</v>
      </c>
      <c r="H9" s="9">
        <v>5.7080690708763466</v>
      </c>
      <c r="I9" s="9">
        <v>7.3</v>
      </c>
      <c r="J9" s="10">
        <v>188.1</v>
      </c>
      <c r="K9" s="11">
        <v>0.23262709379196167</v>
      </c>
      <c r="L9" s="11">
        <v>2.3251485824584961</v>
      </c>
      <c r="M9" s="9">
        <v>43.10708913927062</v>
      </c>
      <c r="N9" s="9">
        <v>1.8794400475711588</v>
      </c>
      <c r="O9" s="9">
        <v>32.078959996317352</v>
      </c>
      <c r="P9" s="9">
        <v>98.620042549999994</v>
      </c>
      <c r="Q9" s="12">
        <v>23</v>
      </c>
      <c r="R9" s="13">
        <v>5.7394462E-2</v>
      </c>
      <c r="S9" s="12">
        <v>56</v>
      </c>
      <c r="T9" s="13">
        <v>2.257064E-3</v>
      </c>
      <c r="U9" s="12">
        <v>10</v>
      </c>
    </row>
    <row r="10" spans="1:21">
      <c r="A10" s="7" t="s">
        <v>31</v>
      </c>
      <c r="B10" s="7" t="s">
        <v>22</v>
      </c>
      <c r="C10" s="16" t="s">
        <v>199</v>
      </c>
      <c r="D10" s="16" t="s">
        <v>197</v>
      </c>
      <c r="E10" s="16" t="s">
        <v>200</v>
      </c>
      <c r="F10" s="8">
        <v>119.952035</v>
      </c>
      <c r="G10" s="8">
        <v>36.284031550000002</v>
      </c>
      <c r="H10" s="9">
        <v>12.223978785251647</v>
      </c>
      <c r="I10" s="9">
        <v>7.48</v>
      </c>
      <c r="J10" s="10">
        <v>450.4</v>
      </c>
      <c r="K10" s="11">
        <v>0.18254287540912628</v>
      </c>
      <c r="L10" s="11">
        <v>1.7566250562667847</v>
      </c>
      <c r="M10" s="9">
        <v>200.69166142757132</v>
      </c>
      <c r="N10" s="9">
        <v>2.4186724064321536</v>
      </c>
      <c r="O10" s="9">
        <v>35.964520660261961</v>
      </c>
      <c r="P10" s="9">
        <v>176.7142034</v>
      </c>
      <c r="Q10" s="12">
        <v>22</v>
      </c>
      <c r="R10" s="13">
        <v>4.5904839000000003E-2</v>
      </c>
      <c r="S10" s="12">
        <v>56</v>
      </c>
      <c r="T10" s="13">
        <v>8.7153299999999996E-4</v>
      </c>
      <c r="U10" s="12">
        <v>5</v>
      </c>
    </row>
    <row r="11" spans="1:21">
      <c r="A11" s="7" t="s">
        <v>32</v>
      </c>
      <c r="B11" s="7" t="s">
        <v>22</v>
      </c>
      <c r="C11" s="16" t="s">
        <v>201</v>
      </c>
      <c r="D11" s="16" t="s">
        <v>197</v>
      </c>
      <c r="E11" s="16" t="s">
        <v>202</v>
      </c>
      <c r="F11" s="8">
        <v>120.95423700000001</v>
      </c>
      <c r="G11" s="8">
        <v>36.666732189999998</v>
      </c>
      <c r="H11" s="9">
        <v>11.846119082589549</v>
      </c>
      <c r="I11" s="9">
        <v>7.73</v>
      </c>
      <c r="J11" s="10">
        <v>262.2</v>
      </c>
      <c r="K11" s="11">
        <v>0.18467864394187927</v>
      </c>
      <c r="L11" s="11">
        <v>2.1118485927581787</v>
      </c>
      <c r="M11" s="9">
        <v>80.060516036970597</v>
      </c>
      <c r="N11" s="9">
        <v>84.044170831074297</v>
      </c>
      <c r="O11" s="9">
        <v>31.402675403660933</v>
      </c>
      <c r="P11" s="9">
        <v>59.943589340000003</v>
      </c>
      <c r="Q11" s="12">
        <v>22</v>
      </c>
      <c r="R11" s="13">
        <v>2.4440338999999998E-2</v>
      </c>
      <c r="S11" s="12">
        <v>44</v>
      </c>
      <c r="T11" s="13">
        <v>1.28257E-3</v>
      </c>
      <c r="U11" s="12">
        <v>4</v>
      </c>
    </row>
    <row r="12" spans="1:21">
      <c r="A12" s="7" t="s">
        <v>33</v>
      </c>
      <c r="B12" s="7" t="s">
        <v>22</v>
      </c>
      <c r="C12" s="16" t="s">
        <v>203</v>
      </c>
      <c r="D12" s="16" t="s">
        <v>197</v>
      </c>
      <c r="E12" s="16" t="s">
        <v>204</v>
      </c>
      <c r="F12" s="8">
        <v>121.88937989999999</v>
      </c>
      <c r="G12" s="8">
        <v>37.024913410000003</v>
      </c>
      <c r="H12" s="9">
        <v>14.555877312215602</v>
      </c>
      <c r="I12" s="9">
        <v>7.07</v>
      </c>
      <c r="J12" s="10">
        <v>168</v>
      </c>
      <c r="K12" s="11">
        <v>0.19856035709381104</v>
      </c>
      <c r="L12" s="11">
        <v>2.3621170520782471</v>
      </c>
      <c r="M12" s="9">
        <v>98.288450416441194</v>
      </c>
      <c r="N12" s="9">
        <v>2.0965490985192856</v>
      </c>
      <c r="O12" s="9">
        <v>45.201560650787307</v>
      </c>
      <c r="P12" s="9">
        <v>38.621951750000001</v>
      </c>
      <c r="Q12" s="12">
        <v>23</v>
      </c>
      <c r="R12" s="13">
        <v>4.2696484999999999E-2</v>
      </c>
      <c r="S12" s="12">
        <v>51</v>
      </c>
      <c r="T12" s="13">
        <v>1.7162899999999999E-4</v>
      </c>
      <c r="U12" s="12">
        <v>3</v>
      </c>
    </row>
    <row r="13" spans="1:21">
      <c r="A13" s="7" t="s">
        <v>34</v>
      </c>
      <c r="B13" s="7" t="s">
        <v>22</v>
      </c>
      <c r="C13" s="16" t="s">
        <v>205</v>
      </c>
      <c r="D13" s="16" t="s">
        <v>197</v>
      </c>
      <c r="E13" s="16" t="s">
        <v>200</v>
      </c>
      <c r="F13" s="8">
        <v>120.0027382</v>
      </c>
      <c r="G13" s="8">
        <v>36.80701097</v>
      </c>
      <c r="H13" s="9">
        <v>14.339746752178929</v>
      </c>
      <c r="I13" s="9">
        <v>7.92</v>
      </c>
      <c r="J13" s="10">
        <v>778.7</v>
      </c>
      <c r="K13" s="11">
        <v>0.2164214551448822</v>
      </c>
      <c r="L13" s="11">
        <v>3.3663289546966553</v>
      </c>
      <c r="M13" s="9">
        <v>258.34418248281759</v>
      </c>
      <c r="N13" s="9">
        <v>1.4128043961924366</v>
      </c>
      <c r="O13" s="9">
        <v>22.715515160577098</v>
      </c>
      <c r="P13" s="9">
        <v>74.076199630000005</v>
      </c>
      <c r="Q13" s="12">
        <v>19</v>
      </c>
      <c r="R13" s="13">
        <v>7.3975631E-2</v>
      </c>
      <c r="S13" s="12">
        <v>91</v>
      </c>
      <c r="T13" s="13">
        <v>5.1695509999999997E-3</v>
      </c>
      <c r="U13" s="12">
        <v>17</v>
      </c>
    </row>
    <row r="14" spans="1:21">
      <c r="A14" s="7" t="s">
        <v>35</v>
      </c>
      <c r="B14" s="7" t="s">
        <v>22</v>
      </c>
      <c r="C14" s="16" t="s">
        <v>206</v>
      </c>
      <c r="D14" s="16" t="s">
        <v>197</v>
      </c>
      <c r="E14" s="16" t="s">
        <v>207</v>
      </c>
      <c r="F14" s="8">
        <v>118.5201667</v>
      </c>
      <c r="G14" s="8">
        <v>36.808699439999998</v>
      </c>
      <c r="H14" s="9">
        <v>15.061409179056264</v>
      </c>
      <c r="I14" s="9">
        <v>7.69</v>
      </c>
      <c r="J14" s="10">
        <v>1308</v>
      </c>
      <c r="K14" s="11">
        <v>6.4264222979545593E-2</v>
      </c>
      <c r="L14" s="11">
        <v>1.0713722705841064</v>
      </c>
      <c r="M14" s="9">
        <v>311.53687394623711</v>
      </c>
      <c r="N14" s="9">
        <v>1.8294083814658249</v>
      </c>
      <c r="O14" s="9">
        <v>467.18611838076271</v>
      </c>
      <c r="P14" s="9">
        <v>30.736454349999999</v>
      </c>
      <c r="Q14" s="12">
        <v>24</v>
      </c>
      <c r="R14" s="13">
        <v>0.10616257799999999</v>
      </c>
      <c r="S14" s="12">
        <v>84</v>
      </c>
      <c r="T14" s="13">
        <v>2.4330923000000001E-2</v>
      </c>
      <c r="U14" s="12">
        <v>17</v>
      </c>
    </row>
    <row r="15" spans="1:21">
      <c r="A15" s="7" t="s">
        <v>36</v>
      </c>
      <c r="B15" s="7" t="s">
        <v>22</v>
      </c>
      <c r="C15" s="16" t="s">
        <v>208</v>
      </c>
      <c r="D15" s="16" t="s">
        <v>197</v>
      </c>
      <c r="E15" s="16" t="s">
        <v>209</v>
      </c>
      <c r="F15" s="8">
        <v>117.05813910000001</v>
      </c>
      <c r="G15" s="8">
        <v>36.84505008</v>
      </c>
      <c r="H15" s="9">
        <v>14.393585031740717</v>
      </c>
      <c r="I15" s="9">
        <v>7.71</v>
      </c>
      <c r="J15" s="10">
        <v>560.4</v>
      </c>
      <c r="K15" s="11">
        <v>9.087323397397995E-2</v>
      </c>
      <c r="L15" s="11">
        <v>1.868188738822937</v>
      </c>
      <c r="M15" s="9">
        <v>357.25007967816208</v>
      </c>
      <c r="N15" s="9">
        <v>6.9158540913614885</v>
      </c>
      <c r="O15" s="9">
        <v>49.30953287614858</v>
      </c>
      <c r="P15" s="9">
        <v>103.6705127</v>
      </c>
      <c r="Q15" s="12">
        <v>25</v>
      </c>
      <c r="R15" s="13">
        <v>8.0569611999999999E-2</v>
      </c>
      <c r="S15" s="12">
        <v>78</v>
      </c>
      <c r="T15" s="13">
        <v>3.8765620000000001E-3</v>
      </c>
      <c r="U15" s="12">
        <v>15</v>
      </c>
    </row>
    <row r="16" spans="1:21">
      <c r="A16" s="7" t="s">
        <v>37</v>
      </c>
      <c r="B16" s="7" t="s">
        <v>22</v>
      </c>
      <c r="C16" s="16" t="s">
        <v>210</v>
      </c>
      <c r="D16" s="16" t="s">
        <v>197</v>
      </c>
      <c r="E16" s="16" t="s">
        <v>211</v>
      </c>
      <c r="F16" s="8">
        <v>115.82541759999999</v>
      </c>
      <c r="G16" s="8">
        <v>36.341718069999999</v>
      </c>
      <c r="H16" s="9">
        <v>11.164160101854071</v>
      </c>
      <c r="I16" s="9">
        <v>7.53</v>
      </c>
      <c r="J16" s="10">
        <v>723.5</v>
      </c>
      <c r="K16" s="11">
        <v>0.77138137817382813</v>
      </c>
      <c r="L16" s="11">
        <v>1.5405728816986084</v>
      </c>
      <c r="M16" s="9">
        <v>347.7549310345708</v>
      </c>
      <c r="N16" s="9">
        <v>6.0045480086347052</v>
      </c>
      <c r="O16" s="9">
        <v>166.91295810505025</v>
      </c>
      <c r="P16" s="9">
        <v>15.48414309</v>
      </c>
      <c r="Q16" s="12">
        <v>22</v>
      </c>
      <c r="R16" s="13">
        <v>7.4480585000000002E-2</v>
      </c>
      <c r="S16" s="12">
        <v>83</v>
      </c>
      <c r="T16" s="13">
        <v>4.3824129999999999E-3</v>
      </c>
      <c r="U16" s="12">
        <v>13</v>
      </c>
    </row>
    <row r="17" spans="1:21">
      <c r="A17" s="7" t="s">
        <v>38</v>
      </c>
      <c r="B17" s="7" t="s">
        <v>22</v>
      </c>
      <c r="C17" s="16" t="s">
        <v>212</v>
      </c>
      <c r="D17" s="16" t="s">
        <v>197</v>
      </c>
      <c r="E17" s="16" t="s">
        <v>213</v>
      </c>
      <c r="F17" s="8">
        <v>115.63666120000001</v>
      </c>
      <c r="G17" s="8">
        <v>35.307861189999997</v>
      </c>
      <c r="H17" s="9">
        <v>21.350649350649334</v>
      </c>
      <c r="I17" s="9">
        <v>7.68</v>
      </c>
      <c r="J17" s="10">
        <v>849.8</v>
      </c>
      <c r="K17" s="11">
        <v>0.11865078657865524</v>
      </c>
      <c r="L17" s="11">
        <v>1.5681164264678955</v>
      </c>
      <c r="M17" s="9">
        <v>209.74223539618825</v>
      </c>
      <c r="N17" s="9">
        <v>7.8764971219521112</v>
      </c>
      <c r="O17" s="9">
        <v>186.34055849101281</v>
      </c>
      <c r="P17" s="9">
        <v>18.665637709999999</v>
      </c>
      <c r="Q17" s="12">
        <v>20</v>
      </c>
      <c r="R17" s="13">
        <v>8.6810899999999996E-2</v>
      </c>
      <c r="S17" s="12">
        <v>79</v>
      </c>
      <c r="T17" s="13">
        <v>1.1544634999999999E-2</v>
      </c>
      <c r="U17" s="12">
        <v>17</v>
      </c>
    </row>
    <row r="18" spans="1:21">
      <c r="A18" s="7" t="s">
        <v>39</v>
      </c>
      <c r="B18" s="7" t="s">
        <v>22</v>
      </c>
      <c r="C18" s="16" t="s">
        <v>214</v>
      </c>
      <c r="D18" s="16" t="s">
        <v>215</v>
      </c>
      <c r="E18" s="16" t="s">
        <v>216</v>
      </c>
      <c r="F18" s="8">
        <v>115.8561962</v>
      </c>
      <c r="G18" s="8">
        <v>33.859733839999997</v>
      </c>
      <c r="H18" s="9">
        <v>23.705146939438205</v>
      </c>
      <c r="I18" s="9">
        <v>7.76</v>
      </c>
      <c r="J18" s="10">
        <v>1035</v>
      </c>
      <c r="K18" s="11">
        <v>0.11938642710447311</v>
      </c>
      <c r="L18" s="11">
        <v>2.0018949508666992</v>
      </c>
      <c r="M18" s="9">
        <v>216.84145416031907</v>
      </c>
      <c r="N18" s="9">
        <v>325.40053466538654</v>
      </c>
      <c r="O18" s="9">
        <v>162.08372985921503</v>
      </c>
      <c r="P18" s="9">
        <v>67.642536100000001</v>
      </c>
      <c r="Q18" s="12">
        <v>19</v>
      </c>
      <c r="R18" s="13">
        <v>0.13821060600000001</v>
      </c>
      <c r="S18" s="12">
        <v>87</v>
      </c>
      <c r="T18" s="13">
        <v>1.1826632E-2</v>
      </c>
      <c r="U18" s="12">
        <v>16</v>
      </c>
    </row>
    <row r="19" spans="1:21">
      <c r="A19" s="7" t="s">
        <v>40</v>
      </c>
      <c r="B19" s="7" t="s">
        <v>22</v>
      </c>
      <c r="C19" s="16" t="s">
        <v>217</v>
      </c>
      <c r="D19" s="16" t="s">
        <v>215</v>
      </c>
      <c r="E19" s="16" t="s">
        <v>218</v>
      </c>
      <c r="F19" s="8">
        <v>115.9720839</v>
      </c>
      <c r="G19" s="8">
        <v>32.698694860000003</v>
      </c>
      <c r="H19" s="9">
        <v>22.051649928263977</v>
      </c>
      <c r="I19" s="9">
        <v>6.92</v>
      </c>
      <c r="J19" s="10">
        <v>1062</v>
      </c>
      <c r="K19" s="11">
        <v>0.1463230699300766</v>
      </c>
      <c r="L19" s="11">
        <v>1.6559727191925049</v>
      </c>
      <c r="M19" s="9">
        <v>397.6204170829277</v>
      </c>
      <c r="N19" s="9">
        <v>8.957333719406078</v>
      </c>
      <c r="O19" s="9">
        <v>288.75458290965537</v>
      </c>
      <c r="P19" s="9">
        <v>44.264056420000003</v>
      </c>
      <c r="Q19" s="12">
        <v>23</v>
      </c>
      <c r="R19" s="13">
        <v>0.145030768</v>
      </c>
      <c r="S19" s="12">
        <v>86</v>
      </c>
      <c r="T19" s="13">
        <v>4.2731943000000001E-2</v>
      </c>
      <c r="U19" s="12">
        <v>18</v>
      </c>
    </row>
    <row r="20" spans="1:21">
      <c r="A20" s="7" t="s">
        <v>41</v>
      </c>
      <c r="B20" s="7" t="s">
        <v>27</v>
      </c>
      <c r="C20" s="16" t="s">
        <v>219</v>
      </c>
      <c r="D20" s="16" t="s">
        <v>215</v>
      </c>
      <c r="E20" s="16" t="s">
        <v>220</v>
      </c>
      <c r="F20" s="8">
        <v>116.4432939</v>
      </c>
      <c r="G20" s="8">
        <v>31.849080170000001</v>
      </c>
      <c r="H20" s="9">
        <v>25.952397970123663</v>
      </c>
      <c r="I20" s="9">
        <v>7.56</v>
      </c>
      <c r="J20" s="10">
        <v>479.4</v>
      </c>
      <c r="K20" s="11">
        <v>0.14351017773151398</v>
      </c>
      <c r="L20" s="11">
        <v>1.3401510715484619</v>
      </c>
      <c r="M20" s="9">
        <v>553.34337602870301</v>
      </c>
      <c r="N20" s="9">
        <v>9.6105332213534211</v>
      </c>
      <c r="O20" s="9">
        <v>53.348858138014435</v>
      </c>
      <c r="P20" s="9">
        <v>51.686104270000001</v>
      </c>
      <c r="Q20" s="12">
        <v>23</v>
      </c>
      <c r="R20" s="13">
        <v>8.1776661E-2</v>
      </c>
      <c r="S20" s="12">
        <v>80</v>
      </c>
      <c r="T20" s="13">
        <v>1.6791727999999999E-2</v>
      </c>
      <c r="U20" s="12">
        <v>15</v>
      </c>
    </row>
    <row r="21" spans="1:21">
      <c r="A21" s="7" t="s">
        <v>42</v>
      </c>
      <c r="B21" s="7" t="s">
        <v>22</v>
      </c>
      <c r="C21" s="16" t="s">
        <v>221</v>
      </c>
      <c r="D21" s="16" t="s">
        <v>215</v>
      </c>
      <c r="E21" s="16" t="s">
        <v>222</v>
      </c>
      <c r="F21" s="8">
        <v>116.7348436</v>
      </c>
      <c r="G21" s="8">
        <v>30.69222066</v>
      </c>
      <c r="H21" s="9">
        <v>28.023175768701254</v>
      </c>
      <c r="I21" s="9">
        <v>7.63</v>
      </c>
      <c r="J21" s="10">
        <v>249.7</v>
      </c>
      <c r="K21" s="11">
        <v>0.16838425397872925</v>
      </c>
      <c r="L21" s="11">
        <v>1.4653836488723755</v>
      </c>
      <c r="M21" s="9">
        <v>182.11199105315225</v>
      </c>
      <c r="N21" s="9">
        <v>7.129003475576619</v>
      </c>
      <c r="O21" s="9">
        <v>29.813957469870697</v>
      </c>
      <c r="P21" s="9">
        <v>14.4125052</v>
      </c>
      <c r="Q21" s="12">
        <v>20</v>
      </c>
      <c r="R21" s="13">
        <v>1.9867072999999999E-2</v>
      </c>
      <c r="S21" s="12">
        <v>58</v>
      </c>
      <c r="T21" s="13">
        <v>1.8610879999999999E-3</v>
      </c>
      <c r="U21" s="12">
        <v>8</v>
      </c>
    </row>
    <row r="22" spans="1:21">
      <c r="A22" s="7" t="s">
        <v>43</v>
      </c>
      <c r="B22" s="7" t="s">
        <v>22</v>
      </c>
      <c r="C22" s="16" t="s">
        <v>223</v>
      </c>
      <c r="D22" s="16" t="s">
        <v>224</v>
      </c>
      <c r="E22" s="16" t="s">
        <v>225</v>
      </c>
      <c r="F22" s="8">
        <v>115.9776418</v>
      </c>
      <c r="G22" s="8">
        <v>29.802663930000001</v>
      </c>
      <c r="H22" s="9">
        <v>28.907435508345973</v>
      </c>
      <c r="I22" s="9">
        <v>7.58</v>
      </c>
      <c r="J22" s="10">
        <v>231.3</v>
      </c>
      <c r="K22" s="11">
        <v>0.19192454218864441</v>
      </c>
      <c r="L22" s="11">
        <v>1.8986799716949463</v>
      </c>
      <c r="M22" s="9">
        <v>341.76465103469866</v>
      </c>
      <c r="N22" s="9">
        <v>8.8152955995565776</v>
      </c>
      <c r="O22" s="9">
        <v>53.715489056346136</v>
      </c>
      <c r="P22" s="9">
        <v>98.192353190000006</v>
      </c>
      <c r="Q22" s="12">
        <v>23</v>
      </c>
      <c r="R22" s="13">
        <v>8.1486667999999998E-2</v>
      </c>
      <c r="S22" s="12">
        <v>67</v>
      </c>
      <c r="T22" s="13">
        <v>5.5365780000000003E-3</v>
      </c>
      <c r="U22" s="12">
        <v>14</v>
      </c>
    </row>
    <row r="23" spans="1:21">
      <c r="A23" s="7" t="s">
        <v>44</v>
      </c>
      <c r="B23" s="7" t="s">
        <v>22</v>
      </c>
      <c r="C23" s="16" t="s">
        <v>226</v>
      </c>
      <c r="D23" s="16" t="s">
        <v>227</v>
      </c>
      <c r="E23" s="16" t="s">
        <v>228</v>
      </c>
      <c r="F23" s="8">
        <v>115.8091944</v>
      </c>
      <c r="G23" s="8">
        <v>28.969079740000002</v>
      </c>
      <c r="H23" s="9">
        <v>28.455928979074191</v>
      </c>
      <c r="I23" s="9">
        <v>7.51</v>
      </c>
      <c r="J23" s="10">
        <v>143.19999999999999</v>
      </c>
      <c r="K23" s="11">
        <v>7.7248555608093739E-3</v>
      </c>
      <c r="L23" s="11">
        <v>0.23180766403675079</v>
      </c>
      <c r="M23" s="9">
        <v>37.518317856480827</v>
      </c>
      <c r="N23" s="9">
        <v>8.2057303133520367</v>
      </c>
      <c r="O23" s="9">
        <v>12.270113678713884</v>
      </c>
      <c r="P23" s="9">
        <v>14.5020693</v>
      </c>
      <c r="Q23" s="12">
        <v>16</v>
      </c>
      <c r="R23" s="13">
        <v>7.1253063000000005E-2</v>
      </c>
      <c r="S23" s="12">
        <v>73</v>
      </c>
      <c r="T23" s="13">
        <v>3.6665090000000001E-3</v>
      </c>
      <c r="U23" s="12">
        <v>13</v>
      </c>
    </row>
    <row r="24" spans="1:21">
      <c r="A24" s="7" t="s">
        <v>45</v>
      </c>
      <c r="B24" s="7" t="s">
        <v>22</v>
      </c>
      <c r="C24" s="16" t="s">
        <v>229</v>
      </c>
      <c r="D24" s="16" t="s">
        <v>227</v>
      </c>
      <c r="E24" s="16" t="s">
        <v>230</v>
      </c>
      <c r="F24" s="8">
        <v>117.60272860000001</v>
      </c>
      <c r="G24" s="8">
        <v>28.879953530000002</v>
      </c>
      <c r="H24" s="9">
        <v>37.781079742446749</v>
      </c>
      <c r="I24" s="9">
        <v>6.73</v>
      </c>
      <c r="J24" s="10">
        <v>188.8</v>
      </c>
      <c r="K24" s="11">
        <v>0.16701243817806244</v>
      </c>
      <c r="L24" s="11">
        <v>1.5230867862701416</v>
      </c>
      <c r="M24" s="9">
        <v>103.4574453188616</v>
      </c>
      <c r="N24" s="9">
        <v>6.8546353794884132</v>
      </c>
      <c r="O24" s="9">
        <v>69.495827648643228</v>
      </c>
      <c r="P24" s="9">
        <v>39.665844329999999</v>
      </c>
      <c r="Q24" s="12">
        <v>21</v>
      </c>
      <c r="R24" s="13">
        <v>0.166331701</v>
      </c>
      <c r="S24" s="12">
        <v>79</v>
      </c>
      <c r="T24" s="13">
        <v>1.1868395E-2</v>
      </c>
      <c r="U24" s="12">
        <v>12</v>
      </c>
    </row>
    <row r="25" spans="1:21">
      <c r="A25" s="7" t="s">
        <v>46</v>
      </c>
      <c r="B25" s="7" t="s">
        <v>22</v>
      </c>
      <c r="C25" s="16" t="s">
        <v>231</v>
      </c>
      <c r="D25" s="16" t="s">
        <v>181</v>
      </c>
      <c r="E25" s="16" t="s">
        <v>232</v>
      </c>
      <c r="F25" s="8">
        <v>118.745188</v>
      </c>
      <c r="G25" s="8">
        <v>28.96676136</v>
      </c>
      <c r="H25" s="9">
        <v>22.836275106512481</v>
      </c>
      <c r="I25" s="9">
        <v>6.9</v>
      </c>
      <c r="J25" s="10">
        <v>507.1</v>
      </c>
      <c r="K25" s="11">
        <v>5.3330282680690289E-3</v>
      </c>
      <c r="L25" s="11">
        <v>3.9421796798706055E-2</v>
      </c>
      <c r="M25" s="9">
        <v>56.309899766833894</v>
      </c>
      <c r="N25" s="9">
        <v>4.5612201643407904</v>
      </c>
      <c r="O25" s="9">
        <v>78.773932826524074</v>
      </c>
      <c r="P25" s="9">
        <v>90.468107070000002</v>
      </c>
      <c r="Q25" s="12">
        <v>26</v>
      </c>
      <c r="R25" s="13">
        <v>7.8132346000000005E-2</v>
      </c>
      <c r="S25" s="12">
        <v>82</v>
      </c>
      <c r="T25" s="13">
        <v>1.1640151E-2</v>
      </c>
      <c r="U25" s="12">
        <v>17</v>
      </c>
    </row>
    <row r="26" spans="1:21">
      <c r="A26" s="7" t="s">
        <v>47</v>
      </c>
      <c r="B26" s="7" t="s">
        <v>27</v>
      </c>
      <c r="C26" s="16" t="s">
        <v>233</v>
      </c>
      <c r="D26" s="16" t="s">
        <v>181</v>
      </c>
      <c r="E26" s="16" t="s">
        <v>234</v>
      </c>
      <c r="F26" s="8">
        <v>120.3459665</v>
      </c>
      <c r="G26" s="8">
        <v>29.338965120000001</v>
      </c>
      <c r="H26" s="9">
        <v>27.346082978588228</v>
      </c>
      <c r="I26" s="9">
        <v>6.55</v>
      </c>
      <c r="J26" s="10">
        <v>110.1</v>
      </c>
      <c r="K26" s="11">
        <v>0.13286152482032776</v>
      </c>
      <c r="L26" s="11">
        <v>1.3882148265838623</v>
      </c>
      <c r="M26" s="9">
        <v>84.039508064798085</v>
      </c>
      <c r="N26" s="9">
        <v>8.865630773512672</v>
      </c>
      <c r="O26" s="9">
        <v>55.652976340887726</v>
      </c>
      <c r="P26" s="9">
        <v>72.905506950000003</v>
      </c>
      <c r="Q26" s="12">
        <v>24</v>
      </c>
      <c r="R26" s="13">
        <v>0.18658248999999999</v>
      </c>
      <c r="S26" s="12">
        <v>82</v>
      </c>
      <c r="T26" s="13">
        <v>1.1661522000000001E-2</v>
      </c>
      <c r="U26" s="12">
        <v>10</v>
      </c>
    </row>
    <row r="27" spans="1:21">
      <c r="A27" s="7" t="s">
        <v>48</v>
      </c>
      <c r="B27" s="7" t="s">
        <v>22</v>
      </c>
      <c r="C27" s="16" t="s">
        <v>235</v>
      </c>
      <c r="D27" s="16" t="s">
        <v>224</v>
      </c>
      <c r="E27" s="16" t="s">
        <v>236</v>
      </c>
      <c r="F27" s="8">
        <v>113.52751600000001</v>
      </c>
      <c r="G27" s="8">
        <v>30.341832149999998</v>
      </c>
      <c r="H27" s="9">
        <v>14.093454425674068</v>
      </c>
      <c r="I27" s="9">
        <v>7.76</v>
      </c>
      <c r="J27" s="10">
        <v>442.7</v>
      </c>
      <c r="K27" s="11">
        <v>0.17038808763027191</v>
      </c>
      <c r="L27" s="11">
        <v>2.613445520401001</v>
      </c>
      <c r="M27" s="9">
        <v>513.22349433642353</v>
      </c>
      <c r="N27" s="9">
        <v>5.9299372138654336</v>
      </c>
      <c r="O27" s="9">
        <v>98.489727697286526</v>
      </c>
      <c r="P27" s="9">
        <v>118.1786577</v>
      </c>
      <c r="Q27" s="12">
        <v>26</v>
      </c>
      <c r="R27" s="13">
        <v>0.121406342</v>
      </c>
      <c r="S27" s="12">
        <v>74</v>
      </c>
      <c r="T27" s="13">
        <v>1.146167E-3</v>
      </c>
      <c r="U27" s="12">
        <v>10</v>
      </c>
    </row>
    <row r="28" spans="1:21">
      <c r="A28" s="7" t="s">
        <v>49</v>
      </c>
      <c r="B28" s="7" t="s">
        <v>27</v>
      </c>
      <c r="C28" s="16" t="s">
        <v>237</v>
      </c>
      <c r="D28" s="16" t="s">
        <v>224</v>
      </c>
      <c r="E28" s="16" t="s">
        <v>238</v>
      </c>
      <c r="F28" s="8">
        <v>111.5278917</v>
      </c>
      <c r="G28" s="8">
        <v>30.559681770000001</v>
      </c>
      <c r="H28" s="9">
        <v>23.717948717948712</v>
      </c>
      <c r="I28" s="9">
        <v>7.64</v>
      </c>
      <c r="J28" s="10">
        <v>592.4</v>
      </c>
      <c r="K28" s="11">
        <v>0.16098898649215698</v>
      </c>
      <c r="L28" s="11">
        <v>2.0103936195373535</v>
      </c>
      <c r="M28" s="9">
        <v>265.07179585798815</v>
      </c>
      <c r="N28" s="9">
        <v>3.1031175587329392</v>
      </c>
      <c r="O28" s="9">
        <v>226.02228690705886</v>
      </c>
      <c r="P28" s="9">
        <v>52.894274379999999</v>
      </c>
      <c r="Q28" s="12">
        <v>22</v>
      </c>
      <c r="R28" s="13">
        <v>0.184219154</v>
      </c>
      <c r="S28" s="12">
        <v>96</v>
      </c>
      <c r="T28" s="13">
        <v>3.0899606E-2</v>
      </c>
      <c r="U28" s="12">
        <v>19</v>
      </c>
    </row>
    <row r="29" spans="1:21">
      <c r="A29" s="7" t="s">
        <v>50</v>
      </c>
      <c r="B29" s="7" t="s">
        <v>22</v>
      </c>
      <c r="C29" s="16" t="s">
        <v>239</v>
      </c>
      <c r="D29" s="16" t="s">
        <v>224</v>
      </c>
      <c r="E29" s="16" t="s">
        <v>240</v>
      </c>
      <c r="F29" s="8">
        <v>109.84606909999999</v>
      </c>
      <c r="G29" s="8">
        <v>30.502808630000001</v>
      </c>
      <c r="H29" s="9">
        <v>36.799299299299307</v>
      </c>
      <c r="I29" s="9">
        <v>7.58</v>
      </c>
      <c r="J29" s="10">
        <v>373.1</v>
      </c>
      <c r="K29" s="11">
        <v>0.26515048742294312</v>
      </c>
      <c r="L29" s="11">
        <v>2.7635161876678467</v>
      </c>
      <c r="M29" s="9">
        <v>247.59529344797744</v>
      </c>
      <c r="N29" s="9">
        <v>6.3456639064921347</v>
      </c>
      <c r="O29" s="9">
        <v>97.573552177211766</v>
      </c>
      <c r="P29" s="9">
        <v>17.180340390000001</v>
      </c>
      <c r="Q29" s="12">
        <v>17</v>
      </c>
      <c r="R29" s="13">
        <v>0.189294403</v>
      </c>
      <c r="S29" s="12">
        <v>76</v>
      </c>
      <c r="T29" s="13">
        <v>7.9345760000000005E-3</v>
      </c>
      <c r="U29" s="12">
        <v>10</v>
      </c>
    </row>
    <row r="30" spans="1:21">
      <c r="A30" s="7" t="s">
        <v>51</v>
      </c>
      <c r="B30" s="7" t="s">
        <v>22</v>
      </c>
      <c r="C30" s="16" t="s">
        <v>241</v>
      </c>
      <c r="D30" s="16" t="s">
        <v>224</v>
      </c>
      <c r="E30" s="16" t="s">
        <v>240</v>
      </c>
      <c r="F30" s="8">
        <v>108.54912640000001</v>
      </c>
      <c r="G30" s="8">
        <v>30.18037515</v>
      </c>
      <c r="H30" s="9">
        <v>33.356337704163799</v>
      </c>
      <c r="I30" s="9">
        <v>7.62</v>
      </c>
      <c r="J30" s="10">
        <v>414.7</v>
      </c>
      <c r="K30" s="11">
        <v>0.22408053278923035</v>
      </c>
      <c r="L30" s="11">
        <v>2.3927125930786133</v>
      </c>
      <c r="M30" s="9">
        <v>136.353351285739</v>
      </c>
      <c r="N30" s="9">
        <v>5.9025094054564464</v>
      </c>
      <c r="O30" s="9">
        <v>42.748220927408312</v>
      </c>
      <c r="P30" s="9">
        <v>61.27181229</v>
      </c>
      <c r="Q30" s="12">
        <v>21</v>
      </c>
      <c r="R30" s="13">
        <v>0.11891924600000001</v>
      </c>
      <c r="S30" s="12">
        <v>65</v>
      </c>
      <c r="T30" s="13">
        <v>5.3385799999999999E-3</v>
      </c>
      <c r="U30" s="12">
        <v>7</v>
      </c>
    </row>
    <row r="31" spans="1:21">
      <c r="A31" s="7" t="s">
        <v>52</v>
      </c>
      <c r="B31" s="7" t="s">
        <v>27</v>
      </c>
      <c r="C31" s="16" t="s">
        <v>242</v>
      </c>
      <c r="D31" s="16" t="s">
        <v>243</v>
      </c>
      <c r="E31" s="16" t="s">
        <v>244</v>
      </c>
      <c r="F31" s="8">
        <v>107.3189179</v>
      </c>
      <c r="G31" s="8">
        <v>29.647262829999999</v>
      </c>
      <c r="H31" s="9">
        <v>19.350341558622617</v>
      </c>
      <c r="I31" s="9">
        <v>7.78</v>
      </c>
      <c r="J31" s="10">
        <v>236.5</v>
      </c>
      <c r="K31" s="11">
        <v>0.1448160856962204</v>
      </c>
      <c r="L31" s="11">
        <v>1.4921765327453613</v>
      </c>
      <c r="M31" s="9">
        <v>49.02877422457766</v>
      </c>
      <c r="N31" s="9">
        <v>5.6934652385495195</v>
      </c>
      <c r="O31" s="9">
        <v>34.220426968520641</v>
      </c>
      <c r="P31" s="9">
        <v>23.01945551</v>
      </c>
      <c r="Q31" s="12">
        <v>24</v>
      </c>
      <c r="R31" s="13">
        <v>0.100204351</v>
      </c>
      <c r="S31" s="12">
        <v>62</v>
      </c>
      <c r="T31" s="13">
        <v>3.4731580000000001E-3</v>
      </c>
      <c r="U31" s="12">
        <v>8</v>
      </c>
    </row>
    <row r="32" spans="1:21">
      <c r="A32" s="7" t="s">
        <v>53</v>
      </c>
      <c r="B32" s="7" t="s">
        <v>22</v>
      </c>
      <c r="C32" s="16" t="s">
        <v>245</v>
      </c>
      <c r="D32" s="16" t="s">
        <v>246</v>
      </c>
      <c r="E32" s="16" t="s">
        <v>247</v>
      </c>
      <c r="F32" s="8">
        <v>107.4508088</v>
      </c>
      <c r="G32" s="8">
        <v>28.49442634</v>
      </c>
      <c r="H32" s="9">
        <v>25.012094823415591</v>
      </c>
      <c r="I32" s="9">
        <v>7.64</v>
      </c>
      <c r="J32" s="10">
        <v>237.6</v>
      </c>
      <c r="K32" s="11">
        <v>0.15649978816509247</v>
      </c>
      <c r="L32" s="11">
        <v>1.1723103523254395</v>
      </c>
      <c r="M32" s="9">
        <v>101.52469906885658</v>
      </c>
      <c r="N32" s="9">
        <v>13.374517385798118</v>
      </c>
      <c r="O32" s="9">
        <v>25.633206433962975</v>
      </c>
      <c r="P32" s="9">
        <v>66.023622689999996</v>
      </c>
      <c r="Q32" s="12">
        <v>20</v>
      </c>
      <c r="R32" s="13">
        <v>9.9558419999999995E-2</v>
      </c>
      <c r="S32" s="12">
        <v>62</v>
      </c>
      <c r="T32" s="13">
        <v>3.717896E-3</v>
      </c>
      <c r="U32" s="12">
        <v>6</v>
      </c>
    </row>
    <row r="33" spans="1:21">
      <c r="A33" s="7" t="s">
        <v>54</v>
      </c>
      <c r="B33" s="7" t="s">
        <v>22</v>
      </c>
      <c r="C33" s="16" t="s">
        <v>248</v>
      </c>
      <c r="D33" s="16" t="s">
        <v>246</v>
      </c>
      <c r="E33" s="16" t="s">
        <v>247</v>
      </c>
      <c r="F33" s="8">
        <v>106.9667934</v>
      </c>
      <c r="G33" s="8">
        <v>27.36829882</v>
      </c>
      <c r="H33" s="9">
        <v>17.395936922858354</v>
      </c>
      <c r="I33" s="9">
        <v>8.0399999999999991</v>
      </c>
      <c r="J33" s="10">
        <v>275.89999999999998</v>
      </c>
      <c r="K33" s="11">
        <v>0.14073240756988525</v>
      </c>
      <c r="L33" s="11">
        <v>2.6207988262176514</v>
      </c>
      <c r="M33" s="9">
        <v>411.58789732717401</v>
      </c>
      <c r="N33" s="9">
        <v>4.6199640515458649</v>
      </c>
      <c r="O33" s="9">
        <v>33.431665188345413</v>
      </c>
      <c r="P33" s="9">
        <v>51.080074379999999</v>
      </c>
      <c r="Q33" s="12">
        <v>24</v>
      </c>
      <c r="R33" s="13">
        <v>8.5780943999999998E-2</v>
      </c>
      <c r="S33" s="12">
        <v>66</v>
      </c>
      <c r="T33" s="13">
        <v>4.7744939999999998E-3</v>
      </c>
      <c r="U33" s="12">
        <v>10</v>
      </c>
    </row>
    <row r="34" spans="1:21">
      <c r="A34" s="7" t="s">
        <v>55</v>
      </c>
      <c r="B34" s="7" t="s">
        <v>27</v>
      </c>
      <c r="C34" s="16" t="s">
        <v>249</v>
      </c>
      <c r="D34" s="16" t="s">
        <v>246</v>
      </c>
      <c r="E34" s="16" t="s">
        <v>250</v>
      </c>
      <c r="F34" s="8">
        <v>106.680907</v>
      </c>
      <c r="G34" s="8">
        <v>26.17173828</v>
      </c>
      <c r="H34" s="9">
        <v>34.234338747099756</v>
      </c>
      <c r="I34" s="9">
        <v>7.96</v>
      </c>
      <c r="J34" s="10">
        <v>307.5</v>
      </c>
      <c r="K34" s="11">
        <v>0.19033873081207275</v>
      </c>
      <c r="L34" s="11">
        <v>2.2530462741851807</v>
      </c>
      <c r="M34" s="9">
        <v>441.7041860731801</v>
      </c>
      <c r="N34" s="9">
        <v>6.0775210688435735</v>
      </c>
      <c r="O34" s="9">
        <v>31.785567919539918</v>
      </c>
      <c r="P34" s="9">
        <v>33.914307149999999</v>
      </c>
      <c r="Q34" s="12">
        <v>22</v>
      </c>
      <c r="R34" s="13">
        <v>0.118140386</v>
      </c>
      <c r="S34" s="12">
        <v>71</v>
      </c>
      <c r="T34" s="13">
        <v>5.2486800000000004E-3</v>
      </c>
      <c r="U34" s="12">
        <v>12</v>
      </c>
    </row>
    <row r="35" spans="1:21">
      <c r="A35" s="7" t="s">
        <v>56</v>
      </c>
      <c r="B35" s="7" t="s">
        <v>22</v>
      </c>
      <c r="C35" s="16" t="s">
        <v>251</v>
      </c>
      <c r="D35" s="16" t="s">
        <v>252</v>
      </c>
      <c r="E35" s="16" t="s">
        <v>253</v>
      </c>
      <c r="F35" s="8">
        <v>106.6367867</v>
      </c>
      <c r="G35" s="8">
        <v>24.90327804</v>
      </c>
      <c r="H35" s="9">
        <v>14.943354076910802</v>
      </c>
      <c r="I35" s="9">
        <v>6.71</v>
      </c>
      <c r="J35" s="10">
        <v>199.5</v>
      </c>
      <c r="K35" s="11">
        <v>0.1259244829416275</v>
      </c>
      <c r="L35" s="11">
        <v>1.1775621175765991</v>
      </c>
      <c r="M35" s="9">
        <v>106.56989891982715</v>
      </c>
      <c r="N35" s="9">
        <v>7.3719782401761611</v>
      </c>
      <c r="O35" s="9">
        <v>12.434779855890827</v>
      </c>
      <c r="P35" s="9">
        <v>24.08896279</v>
      </c>
      <c r="Q35" s="12">
        <v>17</v>
      </c>
      <c r="R35" s="13">
        <v>0.106779756</v>
      </c>
      <c r="S35" s="12">
        <v>66</v>
      </c>
      <c r="T35" s="13">
        <v>4.67929E-3</v>
      </c>
      <c r="U35" s="12">
        <v>11</v>
      </c>
    </row>
    <row r="36" spans="1:21">
      <c r="A36" s="7" t="s">
        <v>57</v>
      </c>
      <c r="B36" s="7" t="s">
        <v>22</v>
      </c>
      <c r="C36" s="16" t="s">
        <v>254</v>
      </c>
      <c r="D36" s="16" t="s">
        <v>252</v>
      </c>
      <c r="E36" s="16" t="s">
        <v>253</v>
      </c>
      <c r="F36" s="8">
        <v>106.7248335</v>
      </c>
      <c r="G36" s="8">
        <v>23.782644149999999</v>
      </c>
      <c r="H36" s="9">
        <v>11.675525489248599</v>
      </c>
      <c r="I36" s="9">
        <v>5.81</v>
      </c>
      <c r="J36" s="10">
        <v>249.5</v>
      </c>
      <c r="K36" s="11">
        <v>0.18713079392910004</v>
      </c>
      <c r="L36" s="11">
        <v>1.6287127733230591</v>
      </c>
      <c r="M36" s="9">
        <v>296.70744865054485</v>
      </c>
      <c r="N36" s="9">
        <v>3.3060509711354729</v>
      </c>
      <c r="O36" s="9">
        <v>37.870937863004372</v>
      </c>
      <c r="P36" s="9">
        <v>127.02055230000001</v>
      </c>
      <c r="Q36" s="12">
        <v>20</v>
      </c>
      <c r="R36" s="13">
        <v>9.8652511999999998E-2</v>
      </c>
      <c r="S36" s="12">
        <v>61</v>
      </c>
      <c r="T36" s="13">
        <v>5.4655329999999998E-3</v>
      </c>
      <c r="U36" s="12">
        <v>12</v>
      </c>
    </row>
    <row r="37" spans="1:21">
      <c r="A37" s="7" t="s">
        <v>58</v>
      </c>
      <c r="B37" s="7" t="s">
        <v>27</v>
      </c>
      <c r="C37" s="16" t="s">
        <v>255</v>
      </c>
      <c r="D37" s="16" t="s">
        <v>252</v>
      </c>
      <c r="E37" s="16" t="s">
        <v>256</v>
      </c>
      <c r="F37" s="8">
        <v>107.9939826</v>
      </c>
      <c r="G37" s="8">
        <v>22.927934189999998</v>
      </c>
      <c r="H37" s="9">
        <v>25.636079728116112</v>
      </c>
      <c r="I37" s="9">
        <v>6.97</v>
      </c>
      <c r="J37" s="10">
        <v>254.7</v>
      </c>
      <c r="K37" s="11">
        <v>0.2285744845867157</v>
      </c>
      <c r="L37" s="11">
        <v>2.6256015300750732</v>
      </c>
      <c r="M37" s="9">
        <v>292.27988666357726</v>
      </c>
      <c r="N37" s="9">
        <v>4.9648847315454319</v>
      </c>
      <c r="O37" s="9">
        <v>22.288673165926703</v>
      </c>
      <c r="P37" s="9">
        <v>45.26516659</v>
      </c>
      <c r="Q37" s="12">
        <v>22</v>
      </c>
      <c r="R37" s="13">
        <v>8.6470006000000002E-2</v>
      </c>
      <c r="S37" s="12">
        <v>63</v>
      </c>
      <c r="T37" s="13">
        <v>4.1689960000000003E-3</v>
      </c>
      <c r="U37" s="12">
        <v>7</v>
      </c>
    </row>
    <row r="38" spans="1:21">
      <c r="A38" s="7" t="s">
        <v>59</v>
      </c>
      <c r="B38" s="7" t="s">
        <v>22</v>
      </c>
      <c r="C38" s="16" t="s">
        <v>257</v>
      </c>
      <c r="D38" s="16" t="s">
        <v>252</v>
      </c>
      <c r="E38" s="16" t="s">
        <v>258</v>
      </c>
      <c r="F38" s="8">
        <v>108.92227080000001</v>
      </c>
      <c r="G38" s="8">
        <v>21.81784768</v>
      </c>
      <c r="H38" s="9">
        <v>24.249059569928708</v>
      </c>
      <c r="I38" s="9">
        <v>7.49</v>
      </c>
      <c r="J38" s="10">
        <v>320.39999999999998</v>
      </c>
      <c r="K38" s="11">
        <v>5.32209612429142E-2</v>
      </c>
      <c r="L38" s="11">
        <v>0.23394401371479034</v>
      </c>
      <c r="M38" s="9">
        <v>144.12005017316667</v>
      </c>
      <c r="N38" s="9">
        <v>7.5681729638461324</v>
      </c>
      <c r="O38" s="9">
        <v>6.5968159763257015</v>
      </c>
      <c r="P38" s="9">
        <v>5.3235664639999998</v>
      </c>
      <c r="Q38" s="12">
        <v>17</v>
      </c>
      <c r="R38" s="13">
        <v>5.1442113999999997E-2</v>
      </c>
      <c r="S38" s="12">
        <v>63</v>
      </c>
      <c r="T38" s="13">
        <v>1.8772179999999999E-3</v>
      </c>
      <c r="U38" s="12">
        <v>10</v>
      </c>
    </row>
    <row r="39" spans="1:21">
      <c r="A39" s="7" t="s">
        <v>60</v>
      </c>
      <c r="B39" s="7" t="s">
        <v>22</v>
      </c>
      <c r="C39" s="16" t="s">
        <v>259</v>
      </c>
      <c r="D39" s="16" t="s">
        <v>260</v>
      </c>
      <c r="E39" s="16" t="s">
        <v>261</v>
      </c>
      <c r="F39" s="8">
        <v>110.3929485</v>
      </c>
      <c r="G39" s="8">
        <v>21.574399799999998</v>
      </c>
      <c r="H39" s="9">
        <v>32.122574538570731</v>
      </c>
      <c r="I39" s="9">
        <v>7.33</v>
      </c>
      <c r="J39" s="10">
        <v>298.2</v>
      </c>
      <c r="K39" s="11">
        <v>5.8703523129224777E-2</v>
      </c>
      <c r="L39" s="11">
        <v>0.96323090791702271</v>
      </c>
      <c r="M39" s="9">
        <v>176.62572770970908</v>
      </c>
      <c r="N39" s="9">
        <v>5.8863575448975149</v>
      </c>
      <c r="O39" s="9">
        <v>8.119124835531581</v>
      </c>
      <c r="P39" s="9">
        <v>67.470789679999996</v>
      </c>
      <c r="Q39" s="12">
        <v>22</v>
      </c>
      <c r="R39" s="13">
        <v>5.7910879999999998E-2</v>
      </c>
      <c r="S39" s="12">
        <v>69</v>
      </c>
      <c r="T39" s="13">
        <v>3.059029E-3</v>
      </c>
      <c r="U39" s="12">
        <v>9</v>
      </c>
    </row>
    <row r="40" spans="1:21">
      <c r="A40" s="7" t="s">
        <v>61</v>
      </c>
      <c r="B40" s="7" t="s">
        <v>22</v>
      </c>
      <c r="C40" s="16" t="s">
        <v>262</v>
      </c>
      <c r="D40" s="16" t="s">
        <v>260</v>
      </c>
      <c r="E40" s="16" t="s">
        <v>263</v>
      </c>
      <c r="F40" s="8">
        <v>111.64530019999999</v>
      </c>
      <c r="G40" s="8">
        <v>21.820443210000001</v>
      </c>
      <c r="H40" s="9">
        <v>31.731801250078899</v>
      </c>
      <c r="I40" s="9">
        <v>5.91</v>
      </c>
      <c r="J40" s="10">
        <v>67.069999999999993</v>
      </c>
      <c r="K40" s="11">
        <v>1.1339493095874786E-2</v>
      </c>
      <c r="L40" s="11">
        <v>0.25610193610191345</v>
      </c>
      <c r="M40" s="9">
        <v>10.144208666471956</v>
      </c>
      <c r="N40" s="9">
        <v>2.6230872107124532</v>
      </c>
      <c r="O40" s="9">
        <v>7.4871303183799602</v>
      </c>
      <c r="P40" s="9">
        <v>5.9277567810000003</v>
      </c>
      <c r="Q40" s="12">
        <v>16</v>
      </c>
      <c r="R40" s="13">
        <v>0.11804205700000001</v>
      </c>
      <c r="S40" s="12">
        <v>26</v>
      </c>
      <c r="T40" s="13">
        <v>3.3078539999999998E-3</v>
      </c>
      <c r="U40" s="12">
        <v>2</v>
      </c>
    </row>
    <row r="41" spans="1:21">
      <c r="A41" s="7" t="s">
        <v>62</v>
      </c>
      <c r="B41" s="7" t="s">
        <v>27</v>
      </c>
      <c r="C41" s="16" t="s">
        <v>264</v>
      </c>
      <c r="D41" s="16" t="s">
        <v>260</v>
      </c>
      <c r="E41" s="16" t="s">
        <v>265</v>
      </c>
      <c r="F41" s="8">
        <v>112.6807867</v>
      </c>
      <c r="G41" s="8">
        <v>21.87911837</v>
      </c>
      <c r="H41" s="9">
        <v>14.719704598858685</v>
      </c>
      <c r="I41" s="9">
        <v>6.32</v>
      </c>
      <c r="J41" s="10">
        <v>29.15</v>
      </c>
      <c r="K41" s="11">
        <v>4.2508181184530258E-2</v>
      </c>
      <c r="L41" s="11">
        <v>0.75983595848083496</v>
      </c>
      <c r="M41" s="9">
        <v>7.5057710034919376</v>
      </c>
      <c r="N41" s="9">
        <v>4.9694155943400116</v>
      </c>
      <c r="O41" s="9">
        <v>6.45215313659053</v>
      </c>
      <c r="P41" s="9">
        <v>23.642112239999999</v>
      </c>
      <c r="Q41" s="12">
        <v>18</v>
      </c>
      <c r="R41" s="13">
        <v>7.1075413000000004E-2</v>
      </c>
      <c r="S41" s="12">
        <v>49</v>
      </c>
      <c r="T41" s="13">
        <v>1.9634549999999998E-3</v>
      </c>
      <c r="U41" s="12">
        <v>9</v>
      </c>
    </row>
    <row r="42" spans="1:21">
      <c r="A42" s="7" t="s">
        <v>63</v>
      </c>
      <c r="B42" s="7" t="s">
        <v>27</v>
      </c>
      <c r="C42" s="16" t="s">
        <v>266</v>
      </c>
      <c r="D42" s="16" t="s">
        <v>260</v>
      </c>
      <c r="E42" s="16" t="s">
        <v>267</v>
      </c>
      <c r="F42" s="8">
        <v>113.8015023</v>
      </c>
      <c r="G42" s="8">
        <v>22.874619620000001</v>
      </c>
      <c r="H42" s="9">
        <v>20.872806336387629</v>
      </c>
      <c r="I42" s="9">
        <v>7</v>
      </c>
      <c r="J42" s="10">
        <v>137.80000000000001</v>
      </c>
      <c r="K42" s="11">
        <v>9.833720326423645E-2</v>
      </c>
      <c r="L42" s="11">
        <v>1.4004553556442261</v>
      </c>
      <c r="M42" s="9">
        <v>64.861432900793019</v>
      </c>
      <c r="N42" s="9">
        <v>6.2430000935804841</v>
      </c>
      <c r="O42" s="9">
        <v>18.298065644175306</v>
      </c>
      <c r="P42" s="9">
        <v>53.57946767</v>
      </c>
      <c r="Q42" s="12">
        <v>21</v>
      </c>
      <c r="R42" s="13">
        <v>0.17768119499999999</v>
      </c>
      <c r="S42" s="12">
        <v>69</v>
      </c>
      <c r="T42" s="13">
        <v>6.9058440000000004E-3</v>
      </c>
      <c r="U42" s="12">
        <v>7</v>
      </c>
    </row>
    <row r="43" spans="1:21">
      <c r="A43" s="7" t="s">
        <v>64</v>
      </c>
      <c r="B43" s="7" t="s">
        <v>22</v>
      </c>
      <c r="C43" s="16" t="s">
        <v>268</v>
      </c>
      <c r="D43" s="16" t="s">
        <v>260</v>
      </c>
      <c r="E43" s="16" t="s">
        <v>269</v>
      </c>
      <c r="F43" s="8">
        <v>115.6466647</v>
      </c>
      <c r="G43" s="8">
        <v>22.975749870000001</v>
      </c>
      <c r="H43" s="9">
        <v>22.560593099515248</v>
      </c>
      <c r="I43" s="9">
        <v>6.75</v>
      </c>
      <c r="J43" s="10">
        <v>3.1190000000000002</v>
      </c>
      <c r="K43" s="11">
        <v>0.24787883460521698</v>
      </c>
      <c r="L43" s="11">
        <v>2.0978999137878418</v>
      </c>
      <c r="M43" s="9">
        <v>101.07556274747422</v>
      </c>
      <c r="N43" s="9">
        <v>7.2318362387912734</v>
      </c>
      <c r="O43" s="9">
        <v>411.92953945115022</v>
      </c>
      <c r="P43" s="9">
        <v>96.710954779999994</v>
      </c>
      <c r="Q43" s="12">
        <v>18</v>
      </c>
      <c r="R43" s="13">
        <v>0.19600916299999999</v>
      </c>
      <c r="S43" s="12">
        <v>76</v>
      </c>
      <c r="T43" s="13">
        <v>8.1206318999999999E-2</v>
      </c>
      <c r="U43" s="12">
        <v>13</v>
      </c>
    </row>
    <row r="44" spans="1:21">
      <c r="A44" s="7" t="s">
        <v>65</v>
      </c>
      <c r="B44" s="7" t="s">
        <v>22</v>
      </c>
      <c r="C44" s="16" t="s">
        <v>270</v>
      </c>
      <c r="D44" s="16" t="s">
        <v>260</v>
      </c>
      <c r="E44" s="16" t="s">
        <v>271</v>
      </c>
      <c r="F44" s="8">
        <v>116.7343109</v>
      </c>
      <c r="G44" s="8">
        <v>23.61175416</v>
      </c>
      <c r="H44" s="9">
        <v>16.260324410389089</v>
      </c>
      <c r="I44" s="9">
        <v>6.75</v>
      </c>
      <c r="J44" s="10">
        <v>134.69999999999999</v>
      </c>
      <c r="K44" s="11">
        <v>0.10945871472358704</v>
      </c>
      <c r="L44" s="11">
        <v>1.4005677700042725</v>
      </c>
      <c r="M44" s="9">
        <v>59.013324174377672</v>
      </c>
      <c r="N44" s="9">
        <v>6.1809395959521813</v>
      </c>
      <c r="O44" s="9">
        <v>28.410917764590589</v>
      </c>
      <c r="P44" s="9">
        <v>57.095471910000001</v>
      </c>
      <c r="Q44" s="12">
        <v>21</v>
      </c>
      <c r="R44" s="13">
        <v>0.13433974600000001</v>
      </c>
      <c r="S44" s="12">
        <v>62</v>
      </c>
      <c r="T44" s="13">
        <v>7.790127E-3</v>
      </c>
      <c r="U44" s="12">
        <v>7</v>
      </c>
    </row>
    <row r="45" spans="1:21">
      <c r="A45" s="7" t="s">
        <v>66</v>
      </c>
      <c r="B45" s="7" t="s">
        <v>22</v>
      </c>
      <c r="C45" s="16" t="s">
        <v>272</v>
      </c>
      <c r="D45" s="16" t="s">
        <v>260</v>
      </c>
      <c r="E45" s="16" t="s">
        <v>261</v>
      </c>
      <c r="F45" s="8">
        <v>117.85506460000001</v>
      </c>
      <c r="G45" s="8">
        <v>24.324144109999999</v>
      </c>
      <c r="H45" s="9">
        <v>17.67515923566879</v>
      </c>
      <c r="I45" s="9">
        <v>6.24</v>
      </c>
      <c r="J45" s="10">
        <v>74.73</v>
      </c>
      <c r="K45" s="11">
        <v>7.0942968130111694E-2</v>
      </c>
      <c r="L45" s="11">
        <v>1.1419370174407959</v>
      </c>
      <c r="M45" s="9">
        <v>115.80931090510772</v>
      </c>
      <c r="N45" s="9">
        <v>6.438518176196248</v>
      </c>
      <c r="O45" s="9">
        <v>15.161756503707927</v>
      </c>
      <c r="P45" s="9">
        <v>21.343211360000002</v>
      </c>
      <c r="Q45" s="12">
        <v>18</v>
      </c>
      <c r="R45" s="13">
        <v>0.103316728</v>
      </c>
      <c r="S45" s="12">
        <v>70</v>
      </c>
      <c r="T45" s="13">
        <v>7.40838E-3</v>
      </c>
      <c r="U45" s="12">
        <v>9</v>
      </c>
    </row>
    <row r="46" spans="1:21">
      <c r="A46" s="7" t="s">
        <v>67</v>
      </c>
      <c r="B46" s="7" t="s">
        <v>27</v>
      </c>
      <c r="C46" s="16" t="s">
        <v>273</v>
      </c>
      <c r="D46" s="16" t="s">
        <v>274</v>
      </c>
      <c r="E46" s="16" t="s">
        <v>275</v>
      </c>
      <c r="F46" s="8">
        <v>118.9865696</v>
      </c>
      <c r="G46" s="8">
        <v>25.301467280000001</v>
      </c>
      <c r="H46" s="9">
        <v>14.161067969636147</v>
      </c>
      <c r="I46" s="9">
        <v>6.45</v>
      </c>
      <c r="J46" s="10">
        <v>155.4</v>
      </c>
      <c r="K46" s="11">
        <v>6.1171457171440125E-2</v>
      </c>
      <c r="L46" s="11">
        <v>0.95127332210540771</v>
      </c>
      <c r="M46" s="9">
        <v>74.765991709048208</v>
      </c>
      <c r="N46" s="9">
        <v>4.4949900681040802</v>
      </c>
      <c r="O46" s="9">
        <v>16.677733497475181</v>
      </c>
      <c r="P46" s="9">
        <v>47.718902929999999</v>
      </c>
      <c r="Q46" s="12">
        <v>20</v>
      </c>
      <c r="R46" s="13">
        <v>0.19755806000000001</v>
      </c>
      <c r="S46" s="12">
        <v>79</v>
      </c>
      <c r="T46" s="13">
        <v>1.9160413000000001E-2</v>
      </c>
      <c r="U46" s="12">
        <v>13</v>
      </c>
    </row>
    <row r="47" spans="1:21">
      <c r="A47" s="7" t="s">
        <v>68</v>
      </c>
      <c r="B47" s="7" t="s">
        <v>22</v>
      </c>
      <c r="C47" s="16" t="s">
        <v>276</v>
      </c>
      <c r="D47" s="16" t="s">
        <v>274</v>
      </c>
      <c r="E47" s="16" t="s">
        <v>277</v>
      </c>
      <c r="F47" s="8">
        <v>119.4920836</v>
      </c>
      <c r="G47" s="8">
        <v>26.442690989999999</v>
      </c>
      <c r="H47" s="9">
        <v>27.327500825354896</v>
      </c>
      <c r="I47" s="9">
        <v>6.16</v>
      </c>
      <c r="J47" s="10">
        <v>96.09</v>
      </c>
      <c r="K47" s="11">
        <v>3.4219108521938324E-2</v>
      </c>
      <c r="L47" s="11">
        <v>0.64414006471633911</v>
      </c>
      <c r="M47" s="9">
        <v>66.330694066932608</v>
      </c>
      <c r="N47" s="9">
        <v>5.0227238207434173</v>
      </c>
      <c r="O47" s="9">
        <v>8.8079993156907879</v>
      </c>
      <c r="P47" s="9">
        <v>19.958518309999999</v>
      </c>
      <c r="Q47" s="12">
        <v>16</v>
      </c>
      <c r="R47" s="13">
        <v>0.13474244799999999</v>
      </c>
      <c r="S47" s="12">
        <v>65</v>
      </c>
      <c r="T47" s="13">
        <v>8.4195169999999996E-3</v>
      </c>
      <c r="U47" s="12">
        <v>8</v>
      </c>
    </row>
    <row r="48" spans="1:21">
      <c r="A48" s="7" t="s">
        <v>69</v>
      </c>
      <c r="B48" s="7" t="s">
        <v>22</v>
      </c>
      <c r="C48" s="16" t="s">
        <v>278</v>
      </c>
      <c r="D48" s="16" t="s">
        <v>181</v>
      </c>
      <c r="E48" s="16" t="s">
        <v>279</v>
      </c>
      <c r="F48" s="8">
        <v>120.4747916</v>
      </c>
      <c r="G48" s="8">
        <v>27.275902810000002</v>
      </c>
      <c r="H48" s="9">
        <v>36.458712259003278</v>
      </c>
      <c r="I48" s="9">
        <v>5.38</v>
      </c>
      <c r="J48" s="10">
        <v>89.57</v>
      </c>
      <c r="K48" s="11">
        <v>1.5640323981642723E-2</v>
      </c>
      <c r="L48" s="11">
        <v>0.47834068536758423</v>
      </c>
      <c r="M48" s="9">
        <v>18.555431322888538</v>
      </c>
      <c r="N48" s="9">
        <v>27.821997755504643</v>
      </c>
      <c r="O48" s="9">
        <v>16.223771032504185</v>
      </c>
      <c r="P48" s="9">
        <v>28.737919439999999</v>
      </c>
      <c r="Q48" s="12">
        <v>19</v>
      </c>
      <c r="R48" s="13">
        <v>0.15731033799999999</v>
      </c>
      <c r="S48" s="12">
        <v>66</v>
      </c>
      <c r="T48" s="13">
        <v>9.1791089999999995E-3</v>
      </c>
      <c r="U48" s="12">
        <v>11</v>
      </c>
    </row>
    <row r="49" spans="1:21">
      <c r="A49" s="7" t="s">
        <v>70</v>
      </c>
      <c r="B49" s="7" t="s">
        <v>27</v>
      </c>
      <c r="C49" s="16" t="s">
        <v>280</v>
      </c>
      <c r="D49" s="16" t="s">
        <v>181</v>
      </c>
      <c r="E49" s="16" t="s">
        <v>191</v>
      </c>
      <c r="F49" s="8">
        <v>121.4801109</v>
      </c>
      <c r="G49" s="8">
        <v>28.339896360000001</v>
      </c>
      <c r="H49" s="9">
        <v>18.880108760302488</v>
      </c>
      <c r="I49" s="9">
        <v>5.34</v>
      </c>
      <c r="J49" s="10">
        <v>189.8</v>
      </c>
      <c r="K49" s="11">
        <v>0.14277121424674988</v>
      </c>
      <c r="L49" s="11">
        <v>2.4639172554016113</v>
      </c>
      <c r="M49" s="9">
        <v>162.10793250067769</v>
      </c>
      <c r="N49" s="9">
        <v>36.474498124642082</v>
      </c>
      <c r="O49" s="9">
        <v>9.8525549729152839</v>
      </c>
      <c r="P49" s="9">
        <v>101.0912003</v>
      </c>
      <c r="Q49" s="12">
        <v>22</v>
      </c>
      <c r="R49" s="13">
        <v>0.19581240699999999</v>
      </c>
      <c r="S49" s="12">
        <v>83</v>
      </c>
      <c r="T49" s="13">
        <v>1.1145653E-2</v>
      </c>
      <c r="U49" s="12">
        <v>14</v>
      </c>
    </row>
    <row r="50" spans="1:21">
      <c r="A50" s="7" t="s">
        <v>71</v>
      </c>
      <c r="B50" s="7" t="s">
        <v>22</v>
      </c>
      <c r="C50" s="16" t="s">
        <v>281</v>
      </c>
      <c r="D50" s="16" t="s">
        <v>181</v>
      </c>
      <c r="E50" s="16" t="s">
        <v>182</v>
      </c>
      <c r="F50" s="8">
        <v>121.8205366</v>
      </c>
      <c r="G50" s="8">
        <v>29.503949330000001</v>
      </c>
      <c r="H50" s="9">
        <v>27.142609799734512</v>
      </c>
      <c r="I50" s="9">
        <v>5.61</v>
      </c>
      <c r="J50" s="10">
        <v>89.51</v>
      </c>
      <c r="K50" s="11">
        <v>7.1921885013580322E-2</v>
      </c>
      <c r="L50" s="11">
        <v>1.2897669076919556</v>
      </c>
      <c r="M50" s="9">
        <v>81.576137836575171</v>
      </c>
      <c r="N50" s="9">
        <v>48.343999215043766</v>
      </c>
      <c r="O50" s="9">
        <v>7.4360226353201435</v>
      </c>
      <c r="P50" s="9">
        <v>79.163316420000001</v>
      </c>
      <c r="Q50" s="12">
        <v>23</v>
      </c>
      <c r="R50" s="13">
        <v>0.24166907600000001</v>
      </c>
      <c r="S50" s="12">
        <v>84</v>
      </c>
      <c r="T50" s="13">
        <v>1.8002707999999999E-2</v>
      </c>
      <c r="U50" s="12">
        <v>14</v>
      </c>
    </row>
    <row r="51" spans="1:21">
      <c r="A51" s="7" t="s">
        <v>72</v>
      </c>
      <c r="B51" s="7" t="s">
        <v>22</v>
      </c>
      <c r="C51" s="16" t="s">
        <v>282</v>
      </c>
      <c r="D51" s="16" t="s">
        <v>283</v>
      </c>
      <c r="E51" s="16" t="s">
        <v>284</v>
      </c>
      <c r="F51" s="8">
        <v>110.64752</v>
      </c>
      <c r="G51" s="8">
        <v>19.3921764</v>
      </c>
      <c r="H51" s="9">
        <v>8.4909010208610738</v>
      </c>
      <c r="I51" s="9">
        <v>6.2</v>
      </c>
      <c r="J51" s="10">
        <v>118</v>
      </c>
      <c r="K51" s="11">
        <v>0.16394160687923431</v>
      </c>
      <c r="L51" s="11">
        <v>2.4175176620483398</v>
      </c>
      <c r="M51" s="9">
        <v>101.6101179985851</v>
      </c>
      <c r="N51" s="9">
        <v>3.9030538465474156</v>
      </c>
      <c r="O51" s="9">
        <v>6.9393943481228346</v>
      </c>
      <c r="P51" s="9">
        <v>61.334326490000002</v>
      </c>
      <c r="Q51" s="12">
        <v>20</v>
      </c>
      <c r="R51" s="13">
        <v>0.16534507700000001</v>
      </c>
      <c r="S51" s="12">
        <v>73</v>
      </c>
      <c r="T51" s="13">
        <v>9.2910820000000009E-3</v>
      </c>
      <c r="U51" s="12">
        <v>11</v>
      </c>
    </row>
    <row r="52" spans="1:21">
      <c r="A52" s="7" t="s">
        <v>73</v>
      </c>
      <c r="B52" s="7" t="s">
        <v>22</v>
      </c>
      <c r="C52" s="16" t="s">
        <v>285</v>
      </c>
      <c r="D52" s="16" t="s">
        <v>283</v>
      </c>
      <c r="E52" s="16" t="s">
        <v>286</v>
      </c>
      <c r="F52" s="8">
        <v>110.0213102</v>
      </c>
      <c r="G52" s="8">
        <v>18.51959961</v>
      </c>
      <c r="H52" s="9">
        <v>5.5175781250000071</v>
      </c>
      <c r="I52" s="9">
        <v>6.11</v>
      </c>
      <c r="J52" s="10">
        <v>182.8</v>
      </c>
      <c r="K52" s="11">
        <v>0.27267053723335266</v>
      </c>
      <c r="L52" s="11">
        <v>3.1362199783325195</v>
      </c>
      <c r="M52" s="9">
        <v>86.563663716316199</v>
      </c>
      <c r="N52" s="9">
        <v>50.190899803324641</v>
      </c>
      <c r="O52" s="9">
        <v>111.77627178958154</v>
      </c>
      <c r="P52" s="9">
        <v>115.7439861</v>
      </c>
      <c r="Q52" s="12">
        <v>25</v>
      </c>
      <c r="R52" s="13">
        <v>0.131877471</v>
      </c>
      <c r="S52" s="12">
        <v>91</v>
      </c>
      <c r="T52" s="13">
        <v>6.6822940000000001E-3</v>
      </c>
      <c r="U52" s="12">
        <v>18</v>
      </c>
    </row>
    <row r="53" spans="1:21">
      <c r="A53" s="7" t="s">
        <v>74</v>
      </c>
      <c r="B53" s="7" t="s">
        <v>27</v>
      </c>
      <c r="C53" s="16" t="s">
        <v>287</v>
      </c>
      <c r="D53" s="16" t="s">
        <v>283</v>
      </c>
      <c r="E53" s="16" t="s">
        <v>288</v>
      </c>
      <c r="F53" s="8">
        <v>108.95514110000001</v>
      </c>
      <c r="G53" s="8">
        <v>18.456908139999999</v>
      </c>
      <c r="H53" s="9">
        <v>3.9442896935933258</v>
      </c>
      <c r="I53" s="9">
        <v>6.75</v>
      </c>
      <c r="J53" s="10">
        <v>130.6</v>
      </c>
      <c r="K53" s="11">
        <v>0.14925415813922882</v>
      </c>
      <c r="L53" s="11">
        <v>1.3142184019088745</v>
      </c>
      <c r="M53" s="9">
        <v>60.645504223710248</v>
      </c>
      <c r="N53" s="9">
        <v>5.9850441692673515</v>
      </c>
      <c r="O53" s="9">
        <v>27.711639936071947</v>
      </c>
      <c r="P53" s="9">
        <v>55.702561439999997</v>
      </c>
      <c r="Q53" s="12">
        <v>19</v>
      </c>
      <c r="R53" s="13">
        <v>0.19789374600000001</v>
      </c>
      <c r="S53" s="12">
        <v>75</v>
      </c>
      <c r="T53" s="13">
        <v>4.8201199999999998E-3</v>
      </c>
      <c r="U53" s="12">
        <v>12</v>
      </c>
    </row>
    <row r="54" spans="1:21">
      <c r="A54" s="7" t="s">
        <v>75</v>
      </c>
      <c r="B54" s="7" t="s">
        <v>22</v>
      </c>
      <c r="C54" s="16" t="s">
        <v>289</v>
      </c>
      <c r="D54" s="16" t="s">
        <v>283</v>
      </c>
      <c r="E54" s="16" t="s">
        <v>290</v>
      </c>
      <c r="F54" s="8">
        <v>109.00478990000001</v>
      </c>
      <c r="G54" s="8">
        <v>19.361233380000002</v>
      </c>
      <c r="H54" s="9">
        <v>4.6529233636151917</v>
      </c>
      <c r="I54" s="9">
        <v>7.49</v>
      </c>
      <c r="J54" s="10">
        <v>228.5</v>
      </c>
      <c r="K54" s="11">
        <v>0.17667201161384583</v>
      </c>
      <c r="L54" s="11">
        <v>3.6747334003448486</v>
      </c>
      <c r="M54" s="9">
        <v>352.39541934214975</v>
      </c>
      <c r="N54" s="9">
        <v>26.375091759579959</v>
      </c>
      <c r="O54" s="9">
        <v>35.085974300491344</v>
      </c>
      <c r="P54" s="9">
        <v>261.1142739</v>
      </c>
      <c r="Q54" s="12">
        <v>24</v>
      </c>
      <c r="R54" s="13">
        <v>0.114423491</v>
      </c>
      <c r="S54" s="12">
        <v>74</v>
      </c>
      <c r="T54" s="13">
        <v>8.5271519999999996E-3</v>
      </c>
      <c r="U54" s="12">
        <v>10</v>
      </c>
    </row>
    <row r="55" spans="1:21">
      <c r="A55" s="7" t="s">
        <v>76</v>
      </c>
      <c r="B55" s="7" t="s">
        <v>22</v>
      </c>
      <c r="C55" s="16" t="s">
        <v>291</v>
      </c>
      <c r="D55" s="16" t="s">
        <v>283</v>
      </c>
      <c r="E55" s="16" t="s">
        <v>292</v>
      </c>
      <c r="F55" s="8">
        <v>109.91985409999999</v>
      </c>
      <c r="G55" s="8">
        <v>19.872540229999998</v>
      </c>
      <c r="H55" s="9">
        <v>26.712734452122401</v>
      </c>
      <c r="I55" s="9">
        <v>6.92</v>
      </c>
      <c r="J55" s="10">
        <v>377.6</v>
      </c>
      <c r="K55" s="11">
        <v>0.24311675131320953</v>
      </c>
      <c r="L55" s="11">
        <v>3.0502099990844727</v>
      </c>
      <c r="M55" s="9">
        <v>454.12127639232904</v>
      </c>
      <c r="N55" s="9">
        <v>16.11940619769662</v>
      </c>
      <c r="O55" s="9">
        <v>94.402849592133393</v>
      </c>
      <c r="P55" s="9">
        <v>107.76449770000001</v>
      </c>
      <c r="Q55" s="12">
        <v>26</v>
      </c>
      <c r="R55" s="13">
        <v>0.13188033399999999</v>
      </c>
      <c r="S55" s="12">
        <v>67</v>
      </c>
      <c r="T55" s="13">
        <v>6.2947380000000002E-3</v>
      </c>
      <c r="U55" s="12">
        <v>10</v>
      </c>
    </row>
    <row r="56" spans="1:21">
      <c r="A56" s="7" t="s">
        <v>77</v>
      </c>
      <c r="B56" s="7" t="s">
        <v>22</v>
      </c>
      <c r="C56" s="16" t="s">
        <v>293</v>
      </c>
      <c r="D56" s="16" t="s">
        <v>197</v>
      </c>
      <c r="E56" s="16" t="s">
        <v>294</v>
      </c>
      <c r="F56" s="8">
        <v>117.1095296</v>
      </c>
      <c r="G56" s="8">
        <v>37.736922569999997</v>
      </c>
      <c r="H56" s="9">
        <v>12.13340711303386</v>
      </c>
      <c r="I56" s="9">
        <v>7.66</v>
      </c>
      <c r="J56" s="10">
        <v>567.6</v>
      </c>
      <c r="K56" s="11">
        <v>6.0864757746458054E-2</v>
      </c>
      <c r="L56" s="11">
        <v>1.6397244930267334</v>
      </c>
      <c r="M56" s="9">
        <v>196.4092662402596</v>
      </c>
      <c r="N56" s="9">
        <v>298.30186657964157</v>
      </c>
      <c r="O56" s="9">
        <v>44.553096338102932</v>
      </c>
      <c r="P56" s="9">
        <v>60.502584710000001</v>
      </c>
      <c r="Q56" s="12">
        <v>21</v>
      </c>
      <c r="R56" s="13">
        <v>4.8779695999999997E-2</v>
      </c>
      <c r="S56" s="12">
        <v>42</v>
      </c>
      <c r="T56" s="13">
        <v>6.7299999999999996E-5</v>
      </c>
      <c r="U56" s="12">
        <v>4</v>
      </c>
    </row>
    <row r="57" spans="1:21">
      <c r="A57" s="7" t="s">
        <v>78</v>
      </c>
      <c r="B57" s="7" t="s">
        <v>27</v>
      </c>
      <c r="C57" s="16" t="s">
        <v>295</v>
      </c>
      <c r="D57" s="16" t="s">
        <v>296</v>
      </c>
      <c r="E57" s="16" t="s">
        <v>297</v>
      </c>
      <c r="F57" s="8">
        <v>117.6037281</v>
      </c>
      <c r="G57" s="8">
        <v>38.831787009999999</v>
      </c>
      <c r="H57" s="9">
        <v>19.428177747158117</v>
      </c>
      <c r="I57" s="9">
        <v>8.0299999999999994</v>
      </c>
      <c r="J57" s="10">
        <v>4.3010000000000002</v>
      </c>
      <c r="K57" s="11">
        <v>8.649049699306488E-2</v>
      </c>
      <c r="L57" s="11">
        <v>2.2918250560760498</v>
      </c>
      <c r="M57" s="9">
        <v>546.08332937822286</v>
      </c>
      <c r="N57" s="9">
        <v>11.425018011344514</v>
      </c>
      <c r="O57" s="9">
        <v>608.79209135288954</v>
      </c>
      <c r="P57" s="9">
        <v>62.014742720000001</v>
      </c>
      <c r="Q57" s="12">
        <v>23</v>
      </c>
      <c r="R57" s="13">
        <v>0.20586437899999999</v>
      </c>
      <c r="S57" s="12">
        <v>70</v>
      </c>
      <c r="T57" s="13">
        <v>1.0395893999999999E-2</v>
      </c>
      <c r="U57" s="12">
        <v>10</v>
      </c>
    </row>
    <row r="58" spans="1:21">
      <c r="A58" s="7" t="s">
        <v>79</v>
      </c>
      <c r="B58" s="7" t="s">
        <v>27</v>
      </c>
      <c r="C58" s="16" t="s">
        <v>298</v>
      </c>
      <c r="D58" s="16" t="s">
        <v>299</v>
      </c>
      <c r="E58" s="16" t="s">
        <v>300</v>
      </c>
      <c r="F58" s="8">
        <v>119.04581899999999</v>
      </c>
      <c r="G58" s="8">
        <v>39.488405540000002</v>
      </c>
      <c r="H58" s="9">
        <v>3.8759689922480618</v>
      </c>
      <c r="I58" s="9">
        <v>8.01</v>
      </c>
      <c r="J58" s="10">
        <v>171.2</v>
      </c>
      <c r="K58" s="11">
        <v>4.2425878345966339E-2</v>
      </c>
      <c r="L58" s="11">
        <v>1.1878147125244141</v>
      </c>
      <c r="M58" s="9">
        <v>107.41438711615888</v>
      </c>
      <c r="N58" s="9">
        <v>7.3360881242345286</v>
      </c>
      <c r="O58" s="9">
        <v>38.372372939350498</v>
      </c>
      <c r="P58" s="9">
        <v>60.181599110000001</v>
      </c>
      <c r="Q58" s="12">
        <v>22</v>
      </c>
      <c r="R58" s="13">
        <v>0.14292191000000001</v>
      </c>
      <c r="S58" s="12">
        <v>80</v>
      </c>
      <c r="T58" s="13">
        <v>9.0311409999999995E-3</v>
      </c>
      <c r="U58" s="12">
        <v>12</v>
      </c>
    </row>
    <row r="59" spans="1:21">
      <c r="A59" s="7" t="s">
        <v>80</v>
      </c>
      <c r="B59" s="7" t="s">
        <v>22</v>
      </c>
      <c r="C59" s="16" t="s">
        <v>301</v>
      </c>
      <c r="D59" s="16" t="s">
        <v>302</v>
      </c>
      <c r="E59" s="16" t="s">
        <v>303</v>
      </c>
      <c r="F59" s="8">
        <v>120.9233873</v>
      </c>
      <c r="G59" s="8">
        <v>40.861023279999998</v>
      </c>
      <c r="H59" s="9">
        <v>13.450969048307776</v>
      </c>
      <c r="I59" s="9">
        <v>7.04</v>
      </c>
      <c r="J59" s="10">
        <v>168.5</v>
      </c>
      <c r="K59" s="11">
        <v>0.21169663965702057</v>
      </c>
      <c r="L59" s="11">
        <v>2.8783941268920898</v>
      </c>
      <c r="M59" s="9">
        <v>139.23443290095958</v>
      </c>
      <c r="N59" s="9">
        <v>7.384151447332882</v>
      </c>
      <c r="O59" s="9">
        <v>478.91840135927509</v>
      </c>
      <c r="P59" s="9">
        <v>235.2275367</v>
      </c>
      <c r="Q59" s="12">
        <v>23</v>
      </c>
      <c r="R59" s="13">
        <v>0.16325501000000001</v>
      </c>
      <c r="S59" s="12">
        <v>95</v>
      </c>
      <c r="T59" s="13">
        <v>1.9018126999999999E-2</v>
      </c>
      <c r="U59" s="12">
        <v>21</v>
      </c>
    </row>
    <row r="60" spans="1:21">
      <c r="A60" s="7" t="s">
        <v>81</v>
      </c>
      <c r="B60" s="7" t="s">
        <v>27</v>
      </c>
      <c r="C60" s="16" t="s">
        <v>304</v>
      </c>
      <c r="D60" s="16" t="s">
        <v>302</v>
      </c>
      <c r="E60" s="16" t="s">
        <v>305</v>
      </c>
      <c r="F60" s="8">
        <v>122.67580719999999</v>
      </c>
      <c r="G60" s="8">
        <v>41.516838249999999</v>
      </c>
      <c r="H60" s="9">
        <v>8.1141005415085363</v>
      </c>
      <c r="I60" s="9">
        <v>7.87</v>
      </c>
      <c r="J60" s="10">
        <v>214.1</v>
      </c>
      <c r="K60" s="11">
        <v>1.7032455652952194E-2</v>
      </c>
      <c r="L60" s="11">
        <v>0.54030221700668335</v>
      </c>
      <c r="M60" s="9">
        <v>41.787056396872998</v>
      </c>
      <c r="N60" s="9">
        <v>10.898981540704689</v>
      </c>
      <c r="O60" s="9">
        <v>48.128281212582536</v>
      </c>
      <c r="P60" s="9">
        <v>23.70626253</v>
      </c>
      <c r="Q60" s="12">
        <v>19</v>
      </c>
      <c r="R60" s="13">
        <v>0.103665702</v>
      </c>
      <c r="S60" s="12">
        <v>71</v>
      </c>
      <c r="T60" s="13">
        <v>6.7877880000000003E-3</v>
      </c>
      <c r="U60" s="12">
        <v>12</v>
      </c>
    </row>
    <row r="61" spans="1:21">
      <c r="A61" s="7" t="s">
        <v>82</v>
      </c>
      <c r="B61" s="7" t="s">
        <v>22</v>
      </c>
      <c r="C61" s="16" t="s">
        <v>306</v>
      </c>
      <c r="D61" s="16" t="s">
        <v>302</v>
      </c>
      <c r="E61" s="16" t="s">
        <v>307</v>
      </c>
      <c r="F61" s="8">
        <v>124.79405149999999</v>
      </c>
      <c r="G61" s="8">
        <v>41.695683850000002</v>
      </c>
      <c r="H61" s="9">
        <v>14.310177521548043</v>
      </c>
      <c r="I61" s="9">
        <v>7.52</v>
      </c>
      <c r="J61" s="10">
        <v>329.7</v>
      </c>
      <c r="K61" s="11">
        <v>0.21000328660011292</v>
      </c>
      <c r="L61" s="11">
        <v>2.272608757019043</v>
      </c>
      <c r="M61" s="9">
        <v>274.35232486605969</v>
      </c>
      <c r="N61" s="9">
        <v>8.5095246809870311</v>
      </c>
      <c r="O61" s="9">
        <v>123.41786702516478</v>
      </c>
      <c r="P61" s="9">
        <v>42.658368490000001</v>
      </c>
      <c r="Q61" s="12">
        <v>18</v>
      </c>
      <c r="R61" s="13">
        <v>0.12637167699999999</v>
      </c>
      <c r="S61" s="12">
        <v>67</v>
      </c>
      <c r="T61" s="13">
        <v>5.761342E-3</v>
      </c>
      <c r="U61" s="12">
        <v>8</v>
      </c>
    </row>
    <row r="62" spans="1:21">
      <c r="A62" s="7" t="s">
        <v>83</v>
      </c>
      <c r="B62" s="7" t="s">
        <v>22</v>
      </c>
      <c r="C62" s="16" t="s">
        <v>308</v>
      </c>
      <c r="D62" s="16" t="s">
        <v>309</v>
      </c>
      <c r="E62" s="16" t="s">
        <v>310</v>
      </c>
      <c r="F62" s="8">
        <v>126.919555</v>
      </c>
      <c r="G62" s="8">
        <v>42.263181430000003</v>
      </c>
      <c r="H62" s="9">
        <v>17.760721739715887</v>
      </c>
      <c r="I62" s="9">
        <v>7.84</v>
      </c>
      <c r="J62" s="10">
        <v>239.1</v>
      </c>
      <c r="K62" s="11">
        <v>0.10097305476665497</v>
      </c>
      <c r="L62" s="11">
        <v>1.8166412115097046</v>
      </c>
      <c r="M62" s="9">
        <v>169.57271510240426</v>
      </c>
      <c r="N62" s="9">
        <v>9.5978999875932853</v>
      </c>
      <c r="O62" s="9">
        <v>32.322305797836407</v>
      </c>
      <c r="P62" s="9">
        <v>58.885173520000002</v>
      </c>
      <c r="Q62" s="12">
        <v>23</v>
      </c>
      <c r="R62" s="13">
        <v>0.114049767</v>
      </c>
      <c r="S62" s="12">
        <v>62</v>
      </c>
      <c r="T62" s="13">
        <v>7.3823140000000001E-3</v>
      </c>
      <c r="U62" s="12">
        <v>7</v>
      </c>
    </row>
    <row r="63" spans="1:21">
      <c r="A63" s="7" t="s">
        <v>84</v>
      </c>
      <c r="B63" s="7" t="s">
        <v>27</v>
      </c>
      <c r="C63" s="16" t="s">
        <v>311</v>
      </c>
      <c r="D63" s="16" t="s">
        <v>309</v>
      </c>
      <c r="E63" s="16" t="s">
        <v>312</v>
      </c>
      <c r="F63" s="8">
        <v>128.09674989999999</v>
      </c>
      <c r="G63" s="8">
        <v>43.117476019999998</v>
      </c>
      <c r="H63" s="9">
        <v>14.221754016328667</v>
      </c>
      <c r="I63" s="9">
        <v>7.52</v>
      </c>
      <c r="J63" s="10">
        <v>77.91</v>
      </c>
      <c r="K63" s="11">
        <v>7.5519435107707977E-2</v>
      </c>
      <c r="L63" s="11">
        <v>1.2759232521057129</v>
      </c>
      <c r="M63" s="9">
        <v>106.25846842256361</v>
      </c>
      <c r="N63" s="9">
        <v>13.118220631793765</v>
      </c>
      <c r="O63" s="9">
        <v>44.111159166871154</v>
      </c>
      <c r="P63" s="9">
        <v>53.682043159999999</v>
      </c>
      <c r="Q63" s="12">
        <v>20</v>
      </c>
      <c r="R63" s="13">
        <v>0.149684699</v>
      </c>
      <c r="S63" s="12">
        <v>63</v>
      </c>
      <c r="T63" s="13">
        <v>6.1614449999999998E-3</v>
      </c>
      <c r="U63" s="12">
        <v>7</v>
      </c>
    </row>
    <row r="64" spans="1:21">
      <c r="A64" s="7" t="s">
        <v>85</v>
      </c>
      <c r="B64" s="7" t="s">
        <v>22</v>
      </c>
      <c r="C64" s="16" t="s">
        <v>313</v>
      </c>
      <c r="D64" s="16" t="s">
        <v>314</v>
      </c>
      <c r="E64" s="16" t="s">
        <v>315</v>
      </c>
      <c r="F64" s="8">
        <v>129.11843490000001</v>
      </c>
      <c r="G64" s="8">
        <v>44.09007201</v>
      </c>
      <c r="H64" s="9">
        <v>24.630481447408766</v>
      </c>
      <c r="I64" s="9">
        <v>7.42</v>
      </c>
      <c r="J64" s="10">
        <v>350.2</v>
      </c>
      <c r="K64" s="11">
        <v>0.15845969319343567</v>
      </c>
      <c r="L64" s="11">
        <v>1.2985392808914185</v>
      </c>
      <c r="M64" s="9">
        <v>75.210589777159782</v>
      </c>
      <c r="N64" s="9">
        <v>22.465328072162816</v>
      </c>
      <c r="O64" s="9">
        <v>134.86977085861506</v>
      </c>
      <c r="P64" s="9">
        <v>117.3393951</v>
      </c>
      <c r="Q64" s="12">
        <v>24</v>
      </c>
      <c r="R64" s="13">
        <v>0.16021090499999999</v>
      </c>
      <c r="S64" s="12">
        <v>71</v>
      </c>
      <c r="T64" s="13">
        <v>9.4268600000000004E-3</v>
      </c>
      <c r="U64" s="12">
        <v>9</v>
      </c>
    </row>
    <row r="65" spans="1:21">
      <c r="A65" s="7" t="s">
        <v>86</v>
      </c>
      <c r="B65" s="7" t="s">
        <v>22</v>
      </c>
      <c r="C65" s="16" t="s">
        <v>316</v>
      </c>
      <c r="D65" s="16" t="s">
        <v>314</v>
      </c>
      <c r="E65" s="16" t="s">
        <v>315</v>
      </c>
      <c r="F65" s="8">
        <v>130.27226820000001</v>
      </c>
      <c r="G65" s="8">
        <v>45.176510260000001</v>
      </c>
      <c r="H65" s="9">
        <v>17.607668992739836</v>
      </c>
      <c r="I65" s="9">
        <v>7.69</v>
      </c>
      <c r="J65" s="10">
        <v>233.1</v>
      </c>
      <c r="K65" s="11">
        <v>0.16866260766983032</v>
      </c>
      <c r="L65" s="11">
        <v>2.7458412647247314</v>
      </c>
      <c r="M65" s="9">
        <v>483.64578227275302</v>
      </c>
      <c r="N65" s="9">
        <v>46.258323369589789</v>
      </c>
      <c r="O65" s="9">
        <v>63.990353156604982</v>
      </c>
      <c r="P65" s="9">
        <v>72.137549800000002</v>
      </c>
      <c r="Q65" s="12">
        <v>22</v>
      </c>
      <c r="R65" s="13">
        <v>0.15262416000000001</v>
      </c>
      <c r="S65" s="12">
        <v>78</v>
      </c>
      <c r="T65" s="13">
        <v>8.124381E-3</v>
      </c>
      <c r="U65" s="12">
        <v>10</v>
      </c>
    </row>
    <row r="66" spans="1:21">
      <c r="A66" s="7" t="s">
        <v>87</v>
      </c>
      <c r="B66" s="7" t="s">
        <v>22</v>
      </c>
      <c r="C66" s="16" t="s">
        <v>317</v>
      </c>
      <c r="D66" s="16" t="s">
        <v>314</v>
      </c>
      <c r="E66" s="16" t="s">
        <v>318</v>
      </c>
      <c r="F66" s="8">
        <v>130.41558309999999</v>
      </c>
      <c r="G66" s="8">
        <v>46.409796040000003</v>
      </c>
      <c r="H66" s="9">
        <v>25.79671549045716</v>
      </c>
      <c r="I66" s="9">
        <v>6.33</v>
      </c>
      <c r="J66" s="10">
        <v>103.3</v>
      </c>
      <c r="K66" s="11">
        <v>0.1568024754524231</v>
      </c>
      <c r="L66" s="11">
        <v>2.3493587970733643</v>
      </c>
      <c r="M66" s="9">
        <v>106.9139667364971</v>
      </c>
      <c r="N66" s="9">
        <v>39.458466896911339</v>
      </c>
      <c r="O66" s="9">
        <v>57.387248548716016</v>
      </c>
      <c r="P66" s="9">
        <v>77.525894010000002</v>
      </c>
      <c r="Q66" s="12">
        <v>17</v>
      </c>
      <c r="R66" s="13">
        <v>0.14703226599999999</v>
      </c>
      <c r="S66" s="12">
        <v>73</v>
      </c>
      <c r="T66" s="13">
        <v>7.0413280000000003E-3</v>
      </c>
      <c r="U66" s="12">
        <v>11</v>
      </c>
    </row>
    <row r="67" spans="1:21">
      <c r="A67" s="7" t="s">
        <v>88</v>
      </c>
      <c r="B67" s="7" t="s">
        <v>27</v>
      </c>
      <c r="C67" s="16" t="s">
        <v>319</v>
      </c>
      <c r="D67" s="16" t="s">
        <v>314</v>
      </c>
      <c r="E67" s="16" t="s">
        <v>320</v>
      </c>
      <c r="F67" s="8">
        <v>129.44891250000001</v>
      </c>
      <c r="G67" s="8">
        <v>47.430637050000001</v>
      </c>
      <c r="H67" s="9">
        <v>32.729624838292352</v>
      </c>
      <c r="I67" s="9">
        <v>6.73</v>
      </c>
      <c r="J67" s="10">
        <v>226</v>
      </c>
      <c r="K67" s="11">
        <v>0.36047717928886414</v>
      </c>
      <c r="L67" s="11">
        <v>4.5921173095703125</v>
      </c>
      <c r="M67" s="9">
        <v>93.92353482425122</v>
      </c>
      <c r="N67" s="9">
        <v>20.353066547371991</v>
      </c>
      <c r="O67" s="9">
        <v>85.035475542846939</v>
      </c>
      <c r="P67" s="9">
        <v>54.877696090000001</v>
      </c>
      <c r="Q67" s="12">
        <v>21</v>
      </c>
      <c r="R67" s="13">
        <v>0.25523683000000003</v>
      </c>
      <c r="S67" s="12">
        <v>78</v>
      </c>
      <c r="T67" s="13">
        <v>1.8719478000000001E-2</v>
      </c>
      <c r="U67" s="12">
        <v>9</v>
      </c>
    </row>
    <row r="68" spans="1:21">
      <c r="A68" s="7" t="s">
        <v>89</v>
      </c>
      <c r="B68" s="7" t="s">
        <v>22</v>
      </c>
      <c r="C68" s="16" t="s">
        <v>321</v>
      </c>
      <c r="D68" s="16" t="s">
        <v>314</v>
      </c>
      <c r="E68" s="16" t="s">
        <v>322</v>
      </c>
      <c r="F68" s="8">
        <v>127.86557980000001</v>
      </c>
      <c r="G68" s="8">
        <v>47.800589430000002</v>
      </c>
      <c r="H68" s="9">
        <v>30.643414828745659</v>
      </c>
      <c r="I68" s="9">
        <v>6.28</v>
      </c>
      <c r="J68" s="10">
        <v>162.19999999999999</v>
      </c>
      <c r="K68" s="11">
        <v>0.30769398808479309</v>
      </c>
      <c r="L68" s="11">
        <v>4.0626487731933594</v>
      </c>
      <c r="M68" s="9">
        <v>87.771911987159314</v>
      </c>
      <c r="N68" s="9">
        <v>76.893325244746649</v>
      </c>
      <c r="O68" s="9">
        <v>29.843794095685332</v>
      </c>
      <c r="P68" s="9">
        <v>47.900450929999998</v>
      </c>
      <c r="Q68" s="12">
        <v>17</v>
      </c>
      <c r="R68" s="13">
        <v>8.8280083999999995E-2</v>
      </c>
      <c r="S68" s="12">
        <v>54</v>
      </c>
      <c r="T68" s="13">
        <v>5.9810430000000001E-3</v>
      </c>
      <c r="U68" s="12">
        <v>8</v>
      </c>
    </row>
    <row r="69" spans="1:21">
      <c r="A69" s="7" t="s">
        <v>90</v>
      </c>
      <c r="B69" s="7" t="s">
        <v>22</v>
      </c>
      <c r="C69" s="16" t="s">
        <v>323</v>
      </c>
      <c r="D69" s="16" t="s">
        <v>314</v>
      </c>
      <c r="E69" s="16" t="s">
        <v>324</v>
      </c>
      <c r="F69" s="8">
        <v>126.2836042</v>
      </c>
      <c r="G69" s="8">
        <v>48.460460070000003</v>
      </c>
      <c r="H69" s="9">
        <v>12.994191493348328</v>
      </c>
      <c r="I69" s="9">
        <v>7.83</v>
      </c>
      <c r="J69" s="10">
        <v>304.3</v>
      </c>
      <c r="K69" s="11">
        <v>9.293113648891449E-2</v>
      </c>
      <c r="L69" s="11">
        <v>1.1048696041107178</v>
      </c>
      <c r="M69" s="9">
        <v>114.48571947886866</v>
      </c>
      <c r="N69" s="9">
        <v>6.1646129829964886</v>
      </c>
      <c r="O69" s="9">
        <v>8.6071380030812232</v>
      </c>
      <c r="P69" s="9">
        <v>33.98865472</v>
      </c>
      <c r="Q69" s="12">
        <v>19</v>
      </c>
      <c r="R69" s="13">
        <v>9.3968737999999996E-2</v>
      </c>
      <c r="S69" s="12">
        <v>45</v>
      </c>
      <c r="T69" s="13">
        <v>7.1984650000000002E-3</v>
      </c>
      <c r="U69" s="12">
        <v>4</v>
      </c>
    </row>
    <row r="70" spans="1:21">
      <c r="A70" s="7" t="s">
        <v>91</v>
      </c>
      <c r="B70" s="7" t="s">
        <v>22</v>
      </c>
      <c r="C70" s="16" t="s">
        <v>325</v>
      </c>
      <c r="D70" s="16" t="s">
        <v>314</v>
      </c>
      <c r="E70" s="16" t="s">
        <v>324</v>
      </c>
      <c r="F70" s="8">
        <v>125.2295239</v>
      </c>
      <c r="G70" s="8">
        <v>49.241250149999999</v>
      </c>
      <c r="H70" s="9">
        <v>8.710952564596985</v>
      </c>
      <c r="I70" s="9">
        <v>7.92</v>
      </c>
      <c r="J70" s="10">
        <v>257.7</v>
      </c>
      <c r="K70" s="11">
        <v>0.30123436450958252</v>
      </c>
      <c r="L70" s="11">
        <v>4.2514181137084961</v>
      </c>
      <c r="M70" s="9">
        <v>187.35943319083503</v>
      </c>
      <c r="N70" s="9">
        <v>6.6738592796132883</v>
      </c>
      <c r="O70" s="9">
        <v>94.914310245827039</v>
      </c>
      <c r="P70" s="9">
        <v>93.57060208</v>
      </c>
      <c r="Q70" s="12">
        <v>22</v>
      </c>
      <c r="R70" s="13">
        <v>6.4368052999999995E-2</v>
      </c>
      <c r="S70" s="12">
        <v>72</v>
      </c>
      <c r="T70" s="13">
        <v>4.2816440000000002E-3</v>
      </c>
      <c r="U70" s="12">
        <v>14</v>
      </c>
    </row>
    <row r="71" spans="1:21">
      <c r="A71" s="7" t="s">
        <v>92</v>
      </c>
      <c r="B71" s="7" t="s">
        <v>22</v>
      </c>
      <c r="C71" s="16" t="s">
        <v>326</v>
      </c>
      <c r="D71" s="16" t="s">
        <v>327</v>
      </c>
      <c r="E71" s="16" t="s">
        <v>328</v>
      </c>
      <c r="F71" s="8">
        <v>115.9057617</v>
      </c>
      <c r="G71" s="8">
        <v>42.682435400000003</v>
      </c>
      <c r="H71" s="9">
        <v>1.0996905393457257</v>
      </c>
      <c r="I71" s="9">
        <v>8.44</v>
      </c>
      <c r="J71" s="10">
        <v>100.4</v>
      </c>
      <c r="K71" s="11">
        <v>6.1396170407533646E-2</v>
      </c>
      <c r="L71" s="11">
        <v>1.1914166212081909</v>
      </c>
      <c r="M71" s="9">
        <v>107.15503996711519</v>
      </c>
      <c r="N71" s="9">
        <v>7.1458834274685232</v>
      </c>
      <c r="O71" s="9">
        <v>8.6475535069338481</v>
      </c>
      <c r="P71" s="9">
        <v>49.20999217</v>
      </c>
      <c r="Q71" s="12">
        <v>15</v>
      </c>
      <c r="R71" s="13">
        <v>3.0946299E-2</v>
      </c>
      <c r="S71" s="12">
        <v>43</v>
      </c>
      <c r="T71" s="13">
        <v>1.3677209999999999E-3</v>
      </c>
      <c r="U71" s="12">
        <v>6</v>
      </c>
    </row>
    <row r="72" spans="1:21">
      <c r="A72" s="7" t="s">
        <v>93</v>
      </c>
      <c r="B72" s="7" t="s">
        <v>22</v>
      </c>
      <c r="C72" s="16" t="s">
        <v>329</v>
      </c>
      <c r="D72" s="16" t="s">
        <v>299</v>
      </c>
      <c r="E72" s="16" t="s">
        <v>330</v>
      </c>
      <c r="F72" s="8">
        <v>114.7388077</v>
      </c>
      <c r="G72" s="8">
        <v>41.219856659999998</v>
      </c>
      <c r="H72" s="9">
        <v>2.9157158897460898</v>
      </c>
      <c r="I72" s="9">
        <v>8.3699999999999992</v>
      </c>
      <c r="J72" s="10">
        <v>173.1</v>
      </c>
      <c r="K72" s="11">
        <v>6.4489975571632385E-2</v>
      </c>
      <c r="L72" s="11">
        <v>2.229201078414917</v>
      </c>
      <c r="M72" s="9">
        <v>170.01534019206844</v>
      </c>
      <c r="N72" s="9">
        <v>6.7894822887335842</v>
      </c>
      <c r="O72" s="9">
        <v>9.5753214584173048</v>
      </c>
      <c r="P72" s="9">
        <v>52.081613449999999</v>
      </c>
      <c r="Q72" s="12">
        <v>20</v>
      </c>
      <c r="R72" s="13">
        <v>0.10450680900000001</v>
      </c>
      <c r="S72" s="12">
        <v>63</v>
      </c>
      <c r="T72" s="13">
        <v>6.8293820000000002E-3</v>
      </c>
      <c r="U72" s="12">
        <v>8</v>
      </c>
    </row>
    <row r="73" spans="1:21">
      <c r="A73" s="7" t="s">
        <v>94</v>
      </c>
      <c r="B73" s="7" t="s">
        <v>22</v>
      </c>
      <c r="C73" s="16" t="s">
        <v>331</v>
      </c>
      <c r="D73" s="16" t="s">
        <v>327</v>
      </c>
      <c r="E73" s="16" t="s">
        <v>332</v>
      </c>
      <c r="F73" s="8">
        <v>112.690984</v>
      </c>
      <c r="G73" s="8">
        <v>40.864523499999997</v>
      </c>
      <c r="H73" s="9">
        <v>3.6050037907505676</v>
      </c>
      <c r="I73" s="9">
        <v>7.95</v>
      </c>
      <c r="J73" s="10">
        <v>575.79999999999995</v>
      </c>
      <c r="K73" s="11">
        <v>6.9150850176811218E-2</v>
      </c>
      <c r="L73" s="11">
        <v>1.2538183927536011</v>
      </c>
      <c r="M73" s="9">
        <v>247.58981226744359</v>
      </c>
      <c r="N73" s="9">
        <v>9.7213751382001448</v>
      </c>
      <c r="O73" s="9">
        <v>38.410229378727372</v>
      </c>
      <c r="P73" s="9">
        <v>67.697524209999997</v>
      </c>
      <c r="Q73" s="12">
        <v>22</v>
      </c>
      <c r="R73" s="13">
        <v>0.113940505</v>
      </c>
      <c r="S73" s="12">
        <v>71</v>
      </c>
      <c r="T73" s="13">
        <v>7.0628569999999996E-3</v>
      </c>
      <c r="U73" s="12">
        <v>11</v>
      </c>
    </row>
    <row r="74" spans="1:21">
      <c r="A74" s="7" t="s">
        <v>95</v>
      </c>
      <c r="B74" s="7" t="s">
        <v>27</v>
      </c>
      <c r="C74" s="16" t="s">
        <v>333</v>
      </c>
      <c r="D74" s="16" t="s">
        <v>327</v>
      </c>
      <c r="E74" s="16" t="s">
        <v>334</v>
      </c>
      <c r="F74" s="8">
        <v>111.00585940000001</v>
      </c>
      <c r="G74" s="8">
        <v>40.699381340000002</v>
      </c>
      <c r="H74" s="9">
        <v>4.6260366735144327</v>
      </c>
      <c r="I74" s="9">
        <v>8.0500000000000007</v>
      </c>
      <c r="J74" s="10">
        <v>201.4</v>
      </c>
      <c r="K74" s="11">
        <v>0.12812423706054688</v>
      </c>
      <c r="L74" s="11">
        <v>2.5007505416870117</v>
      </c>
      <c r="M74" s="9">
        <v>375.73818773283057</v>
      </c>
      <c r="N74" s="9">
        <v>3.8108440593233275</v>
      </c>
      <c r="O74" s="9">
        <v>35.116570378998716</v>
      </c>
      <c r="P74" s="9">
        <v>80.062074969999998</v>
      </c>
      <c r="Q74" s="12">
        <v>23</v>
      </c>
      <c r="R74" s="13">
        <v>5.6462453000000003E-2</v>
      </c>
      <c r="S74" s="12">
        <v>48</v>
      </c>
      <c r="T74" s="13">
        <v>1.574483E-3</v>
      </c>
      <c r="U74" s="12">
        <v>9</v>
      </c>
    </row>
    <row r="75" spans="1:21">
      <c r="A75" s="7" t="s">
        <v>96</v>
      </c>
      <c r="B75" s="7" t="s">
        <v>22</v>
      </c>
      <c r="C75" s="16" t="s">
        <v>335</v>
      </c>
      <c r="D75" s="16" t="s">
        <v>327</v>
      </c>
      <c r="E75" s="16" t="s">
        <v>336</v>
      </c>
      <c r="F75" s="8">
        <v>109.8248291</v>
      </c>
      <c r="G75" s="8">
        <v>39.495563359999998</v>
      </c>
      <c r="H75" s="9">
        <v>16.211498176739855</v>
      </c>
      <c r="I75" s="9">
        <v>9.8800000000000008</v>
      </c>
      <c r="J75" s="10">
        <v>2235</v>
      </c>
      <c r="K75" s="11">
        <v>0.15473109483718872</v>
      </c>
      <c r="L75" s="11">
        <v>4.7673225402832031</v>
      </c>
      <c r="M75" s="9">
        <v>299.43019492590827</v>
      </c>
      <c r="N75" s="9">
        <v>5.9290126809251653</v>
      </c>
      <c r="O75" s="9">
        <v>26.804912415938574</v>
      </c>
      <c r="P75" s="9">
        <v>80.087710790000003</v>
      </c>
      <c r="Q75" s="12">
        <v>22</v>
      </c>
      <c r="R75" s="13">
        <v>0.13247488499999999</v>
      </c>
      <c r="S75" s="12">
        <v>80</v>
      </c>
      <c r="T75" s="13">
        <v>7.0717080000000003E-3</v>
      </c>
      <c r="U75" s="12">
        <v>9</v>
      </c>
    </row>
    <row r="76" spans="1:21">
      <c r="A76" s="7" t="s">
        <v>97</v>
      </c>
      <c r="B76" s="7" t="s">
        <v>27</v>
      </c>
      <c r="C76" s="16" t="s">
        <v>337</v>
      </c>
      <c r="D76" s="16" t="s">
        <v>338</v>
      </c>
      <c r="E76" s="16" t="s">
        <v>339</v>
      </c>
      <c r="F76" s="8">
        <v>109.1821289</v>
      </c>
      <c r="G76" s="8">
        <v>38.030785690000002</v>
      </c>
      <c r="H76" s="9">
        <v>8.9818461677758137</v>
      </c>
      <c r="I76" s="9">
        <v>8.26</v>
      </c>
      <c r="J76" s="10">
        <v>283.7</v>
      </c>
      <c r="K76" s="11">
        <v>7.0318840444087982E-2</v>
      </c>
      <c r="L76" s="11">
        <v>2.1481382846832275</v>
      </c>
      <c r="M76" s="9">
        <v>232.44552805075531</v>
      </c>
      <c r="N76" s="9">
        <v>5.3846231307135533</v>
      </c>
      <c r="O76" s="9">
        <v>58.348880841462893</v>
      </c>
      <c r="P76" s="9">
        <v>96.577583090000005</v>
      </c>
      <c r="Q76" s="12">
        <v>19</v>
      </c>
      <c r="R76" s="13">
        <v>0.12003338600000001</v>
      </c>
      <c r="S76" s="12">
        <v>77</v>
      </c>
      <c r="T76" s="13">
        <v>8.2244569999999993E-3</v>
      </c>
      <c r="U76" s="12">
        <v>12</v>
      </c>
    </row>
    <row r="77" spans="1:21">
      <c r="A77" s="7" t="s">
        <v>98</v>
      </c>
      <c r="B77" s="7" t="s">
        <v>22</v>
      </c>
      <c r="C77" s="16" t="s">
        <v>340</v>
      </c>
      <c r="D77" s="16" t="s">
        <v>338</v>
      </c>
      <c r="E77" s="16" t="s">
        <v>341</v>
      </c>
      <c r="F77" s="8">
        <v>109.31396479999999</v>
      </c>
      <c r="G77" s="8">
        <v>36.527294810000001</v>
      </c>
      <c r="H77" s="9">
        <v>12.633265545079178</v>
      </c>
      <c r="I77" s="9">
        <v>8.09</v>
      </c>
      <c r="J77" s="10">
        <v>297.2</v>
      </c>
      <c r="K77" s="11">
        <v>7.7389955520629883E-2</v>
      </c>
      <c r="L77" s="11">
        <v>1.896480917930603</v>
      </c>
      <c r="M77" s="9">
        <v>108.46483159182002</v>
      </c>
      <c r="N77" s="9">
        <v>4.1744392874578811</v>
      </c>
      <c r="O77" s="9">
        <v>99.917224235282205</v>
      </c>
      <c r="P77" s="9">
        <v>40.884257669999997</v>
      </c>
      <c r="Q77" s="12">
        <v>21</v>
      </c>
      <c r="R77" s="13">
        <v>0.15642452500000001</v>
      </c>
      <c r="S77" s="12">
        <v>79</v>
      </c>
      <c r="T77" s="13">
        <v>9.7025419999999998E-3</v>
      </c>
      <c r="U77" s="12">
        <v>12</v>
      </c>
    </row>
    <row r="78" spans="1:21">
      <c r="A78" s="7" t="s">
        <v>99</v>
      </c>
      <c r="B78" s="7" t="s">
        <v>22</v>
      </c>
      <c r="C78" s="16" t="s">
        <v>342</v>
      </c>
      <c r="D78" s="16" t="s">
        <v>338</v>
      </c>
      <c r="E78" s="16" t="s">
        <v>343</v>
      </c>
      <c r="F78" s="8">
        <v>108.984375</v>
      </c>
      <c r="G78" s="8">
        <v>35.389049970000002</v>
      </c>
      <c r="H78" s="9">
        <v>24.766035151791836</v>
      </c>
      <c r="I78" s="9">
        <v>8.0399999999999991</v>
      </c>
      <c r="J78" s="10">
        <v>247.1</v>
      </c>
      <c r="K78" s="11">
        <v>3.8105789572000504E-2</v>
      </c>
      <c r="L78" s="11">
        <v>2.6505768299102783</v>
      </c>
      <c r="M78" s="9">
        <v>211.20698812915703</v>
      </c>
      <c r="N78" s="9">
        <v>6.3508261037973162</v>
      </c>
      <c r="O78" s="9">
        <v>80.536019339832791</v>
      </c>
      <c r="P78" s="9">
        <v>65.209482640000004</v>
      </c>
      <c r="Q78" s="12">
        <v>22</v>
      </c>
      <c r="R78" s="13">
        <v>0.21620616200000001</v>
      </c>
      <c r="S78" s="12">
        <v>76</v>
      </c>
      <c r="T78" s="13">
        <v>1.0249746000000001E-2</v>
      </c>
      <c r="U78" s="12">
        <v>13</v>
      </c>
    </row>
    <row r="79" spans="1:21">
      <c r="A79" s="7" t="s">
        <v>100</v>
      </c>
      <c r="B79" s="7" t="s">
        <v>27</v>
      </c>
      <c r="C79" s="16" t="s">
        <v>344</v>
      </c>
      <c r="D79" s="16" t="s">
        <v>338</v>
      </c>
      <c r="E79" s="16" t="s">
        <v>345</v>
      </c>
      <c r="F79" s="8">
        <v>108.9788818</v>
      </c>
      <c r="G79" s="8">
        <v>34.189085830000003</v>
      </c>
      <c r="H79" s="9">
        <v>17.908926144086994</v>
      </c>
      <c r="I79" s="9">
        <v>8.24</v>
      </c>
      <c r="J79" s="10">
        <v>233.3</v>
      </c>
      <c r="K79" s="11">
        <v>0.15463396906852722</v>
      </c>
      <c r="L79" s="11">
        <v>2.0695829391479492</v>
      </c>
      <c r="M79" s="9">
        <v>107.82707185903323</v>
      </c>
      <c r="N79" s="9">
        <v>5.5741534852002594</v>
      </c>
      <c r="O79" s="9">
        <v>43.582872584577885</v>
      </c>
      <c r="P79" s="9">
        <v>61.728054360000002</v>
      </c>
      <c r="Q79" s="12">
        <v>23</v>
      </c>
      <c r="R79" s="13">
        <v>0.10052947399999999</v>
      </c>
      <c r="S79" s="12">
        <v>69</v>
      </c>
      <c r="T79" s="13">
        <v>1.397981E-3</v>
      </c>
      <c r="U79" s="12">
        <v>9</v>
      </c>
    </row>
    <row r="80" spans="1:21">
      <c r="A80" s="7" t="s">
        <v>101</v>
      </c>
      <c r="B80" s="7" t="s">
        <v>22</v>
      </c>
      <c r="C80" s="16" t="s">
        <v>346</v>
      </c>
      <c r="D80" s="16" t="s">
        <v>338</v>
      </c>
      <c r="E80" s="16" t="s">
        <v>347</v>
      </c>
      <c r="F80" s="8">
        <v>108.96240229999999</v>
      </c>
      <c r="G80" s="8">
        <v>32.921096540000001</v>
      </c>
      <c r="H80" s="9">
        <v>19.863597612958213</v>
      </c>
      <c r="I80" s="9">
        <v>7.48</v>
      </c>
      <c r="J80" s="10">
        <v>323.3</v>
      </c>
      <c r="K80" s="11">
        <v>0.1409437358379364</v>
      </c>
      <c r="L80" s="11">
        <v>1.8240156173706055</v>
      </c>
      <c r="M80" s="9">
        <v>6.7161218929174389</v>
      </c>
      <c r="N80" s="9">
        <v>8.9427668022846305</v>
      </c>
      <c r="O80" s="9">
        <v>159.08919954632378</v>
      </c>
      <c r="P80" s="9">
        <v>60.756496570000003</v>
      </c>
      <c r="Q80" s="12">
        <v>25</v>
      </c>
      <c r="R80" s="13">
        <v>0.15054515600000001</v>
      </c>
      <c r="S80" s="12">
        <v>76</v>
      </c>
      <c r="T80" s="13">
        <v>7.1796009999999999E-3</v>
      </c>
      <c r="U80" s="12">
        <v>13</v>
      </c>
    </row>
    <row r="81" spans="1:21">
      <c r="A81" s="7" t="s">
        <v>102</v>
      </c>
      <c r="B81" s="7" t="s">
        <v>27</v>
      </c>
      <c r="C81" s="16" t="s">
        <v>348</v>
      </c>
      <c r="D81" s="16" t="s">
        <v>349</v>
      </c>
      <c r="E81" s="16" t="s">
        <v>350</v>
      </c>
      <c r="F81" s="8">
        <v>108.0780029</v>
      </c>
      <c r="G81" s="8">
        <v>31.854231299999999</v>
      </c>
      <c r="H81" s="9">
        <v>24.736808112122961</v>
      </c>
      <c r="I81" s="9">
        <v>7.62</v>
      </c>
      <c r="J81" s="10">
        <v>236.3</v>
      </c>
      <c r="K81" s="11">
        <v>0.12522721290588379</v>
      </c>
      <c r="L81" s="11">
        <v>1.7993712425231934</v>
      </c>
      <c r="M81" s="9">
        <v>81.2783307927333</v>
      </c>
      <c r="N81" s="9">
        <v>8.3974311787752498</v>
      </c>
      <c r="O81" s="9">
        <v>133.14028748264474</v>
      </c>
      <c r="P81" s="9">
        <v>71.221241230000004</v>
      </c>
      <c r="Q81" s="12">
        <v>21</v>
      </c>
      <c r="R81" s="13">
        <v>0.27127698500000003</v>
      </c>
      <c r="S81" s="12">
        <v>78</v>
      </c>
      <c r="T81" s="13">
        <v>1.6499229000000001E-2</v>
      </c>
      <c r="U81" s="12">
        <v>14</v>
      </c>
    </row>
    <row r="82" spans="1:21">
      <c r="A82" s="7" t="s">
        <v>103</v>
      </c>
      <c r="B82" s="7" t="s">
        <v>22</v>
      </c>
      <c r="C82" s="16" t="s">
        <v>351</v>
      </c>
      <c r="D82" s="16" t="s">
        <v>260</v>
      </c>
      <c r="E82" s="16" t="s">
        <v>352</v>
      </c>
      <c r="F82" s="8">
        <v>113.91157149999999</v>
      </c>
      <c r="G82" s="8">
        <v>24.981623460000002</v>
      </c>
      <c r="H82" s="9">
        <v>30.270626393675258</v>
      </c>
      <c r="I82" s="9">
        <v>6.37</v>
      </c>
      <c r="J82" s="10">
        <v>97.65</v>
      </c>
      <c r="K82" s="11">
        <v>0.13680222630500793</v>
      </c>
      <c r="L82" s="11">
        <v>1.6578069925308228</v>
      </c>
      <c r="M82" s="9">
        <v>58.535293061321312</v>
      </c>
      <c r="N82" s="9">
        <v>3.6213317308756818</v>
      </c>
      <c r="O82" s="9">
        <v>90.389650030491865</v>
      </c>
      <c r="P82" s="9">
        <v>92.230897940000006</v>
      </c>
      <c r="Q82" s="12">
        <v>24</v>
      </c>
      <c r="R82" s="13">
        <v>0.240255676</v>
      </c>
      <c r="S82" s="12">
        <v>83</v>
      </c>
      <c r="T82" s="13">
        <v>1.4181532E-2</v>
      </c>
      <c r="U82" s="12">
        <v>14</v>
      </c>
    </row>
    <row r="83" spans="1:21">
      <c r="A83" s="7" t="s">
        <v>104</v>
      </c>
      <c r="B83" s="7" t="s">
        <v>22</v>
      </c>
      <c r="C83" s="16" t="s">
        <v>353</v>
      </c>
      <c r="D83" s="16" t="s">
        <v>227</v>
      </c>
      <c r="E83" s="16" t="s">
        <v>354</v>
      </c>
      <c r="F83" s="8">
        <v>115.1809216</v>
      </c>
      <c r="G83" s="8">
        <v>26.020691360000001</v>
      </c>
      <c r="H83" s="9">
        <v>29.04405582646713</v>
      </c>
      <c r="I83" s="9">
        <v>7.49</v>
      </c>
      <c r="J83" s="10">
        <v>263.2</v>
      </c>
      <c r="K83" s="11">
        <v>6.3893504440784454E-2</v>
      </c>
      <c r="L83" s="11">
        <v>0.7543824315071106</v>
      </c>
      <c r="M83" s="9">
        <v>70.863542281436807</v>
      </c>
      <c r="N83" s="9">
        <v>6.7757844841315871</v>
      </c>
      <c r="O83" s="9">
        <v>34.627442901312193</v>
      </c>
      <c r="P83" s="9">
        <v>17.61043991</v>
      </c>
      <c r="Q83" s="12">
        <v>17</v>
      </c>
      <c r="R83" s="13">
        <v>0.14130681</v>
      </c>
      <c r="S83" s="12">
        <v>64</v>
      </c>
      <c r="T83" s="13">
        <v>6.3332579999999996E-3</v>
      </c>
      <c r="U83" s="12">
        <v>10</v>
      </c>
    </row>
    <row r="84" spans="1:21">
      <c r="A84" s="7" t="s">
        <v>105</v>
      </c>
      <c r="B84" s="7" t="s">
        <v>22</v>
      </c>
      <c r="C84" s="16" t="s">
        <v>355</v>
      </c>
      <c r="D84" s="16" t="s">
        <v>227</v>
      </c>
      <c r="E84" s="16" t="s">
        <v>277</v>
      </c>
      <c r="F84" s="8">
        <v>115.75195309999999</v>
      </c>
      <c r="G84" s="8">
        <v>27.615406010000001</v>
      </c>
      <c r="H84" s="9">
        <v>25.692986140277181</v>
      </c>
      <c r="I84" s="9">
        <v>5.38</v>
      </c>
      <c r="J84" s="10">
        <v>42.28</v>
      </c>
      <c r="K84" s="11">
        <v>7.8190982341766357E-2</v>
      </c>
      <c r="L84" s="11">
        <v>0.79744446277618408</v>
      </c>
      <c r="M84" s="9">
        <v>56.584671214223775</v>
      </c>
      <c r="N84" s="9">
        <v>5.4418389447043518</v>
      </c>
      <c r="O84" s="9">
        <v>8.4240900053443077</v>
      </c>
      <c r="P84" s="9">
        <v>15.36170016</v>
      </c>
      <c r="Q84" s="12">
        <v>16</v>
      </c>
      <c r="R84" s="13">
        <v>0.12126445399999999</v>
      </c>
      <c r="S84" s="12">
        <v>53</v>
      </c>
      <c r="T84" s="13">
        <v>4.6646200000000004E-3</v>
      </c>
      <c r="U84" s="12">
        <v>10</v>
      </c>
    </row>
  </sheetData>
  <phoneticPr fontId="3" type="noConversion"/>
  <conditionalFormatting sqref="A2:U84">
    <cfRule type="expression" dxfId="0" priority="1">
      <formula>$B2="Yes"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workbookViewId="0"/>
  </sheetViews>
  <sheetFormatPr defaultRowHeight="14.25"/>
  <cols>
    <col min="1" max="1" width="10" customWidth="1"/>
    <col min="2" max="2" width="18" customWidth="1"/>
    <col min="3" max="3" width="30" customWidth="1"/>
    <col min="4" max="4" width="22" customWidth="1"/>
    <col min="5" max="5" width="18" customWidth="1"/>
    <col min="6" max="7" width="12" customWidth="1"/>
    <col min="8" max="8" width="18" customWidth="1"/>
    <col min="9" max="9" width="9" customWidth="1"/>
    <col min="10" max="10" width="14" customWidth="1"/>
    <col min="11" max="12" width="12" customWidth="1"/>
    <col min="13" max="13" width="18" customWidth="1"/>
    <col min="14" max="15" width="20" customWidth="1"/>
    <col min="16" max="16" width="18" customWidth="1"/>
    <col min="17" max="17" width="24" customWidth="1"/>
    <col min="18" max="18" width="38" customWidth="1"/>
    <col min="19" max="19" width="18" customWidth="1"/>
    <col min="20" max="20" width="34" customWidth="1"/>
    <col min="21" max="21" width="16" customWidth="1"/>
  </cols>
  <sheetData>
    <row r="1" spans="1:21" ht="42" customHeight="1">
      <c r="A1" s="1" t="s">
        <v>0</v>
      </c>
      <c r="B1" s="1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26</v>
      </c>
      <c r="B2" t="s">
        <v>27</v>
      </c>
      <c r="C2" s="17" t="s">
        <v>190</v>
      </c>
      <c r="D2" s="17" t="s">
        <v>188</v>
      </c>
      <c r="E2" s="17" t="s">
        <v>191</v>
      </c>
      <c r="F2" s="2">
        <v>119.9922037</v>
      </c>
      <c r="G2" s="2">
        <v>32.398298390000001</v>
      </c>
      <c r="H2" s="3">
        <v>11.257373825649974</v>
      </c>
      <c r="I2" s="3">
        <v>7.68</v>
      </c>
      <c r="J2" s="4">
        <v>753.5</v>
      </c>
      <c r="K2" s="5">
        <v>5.4848551750183105E-2</v>
      </c>
      <c r="L2" s="5">
        <v>1.0544371604919434</v>
      </c>
      <c r="M2" s="3">
        <v>103.83127276593711</v>
      </c>
      <c r="N2" s="3">
        <v>2.5435508388911465</v>
      </c>
      <c r="O2" s="3">
        <v>135.16943806286318</v>
      </c>
      <c r="P2" s="3">
        <v>36.879246670000001</v>
      </c>
      <c r="Q2">
        <v>17</v>
      </c>
      <c r="R2" s="6">
        <v>7.6332102999999998E-2</v>
      </c>
      <c r="S2">
        <v>71</v>
      </c>
      <c r="T2" s="6">
        <v>1.1499669000000001E-2</v>
      </c>
      <c r="U2">
        <v>10</v>
      </c>
    </row>
    <row r="3" spans="1:21">
      <c r="A3" t="s">
        <v>41</v>
      </c>
      <c r="B3" t="s">
        <v>27</v>
      </c>
      <c r="C3" s="17" t="s">
        <v>219</v>
      </c>
      <c r="D3" s="17" t="s">
        <v>215</v>
      </c>
      <c r="E3" s="17" t="s">
        <v>220</v>
      </c>
      <c r="F3" s="2">
        <v>116.4432939</v>
      </c>
      <c r="G3" s="2">
        <v>31.849080170000001</v>
      </c>
      <c r="H3" s="3">
        <v>25.952397970123663</v>
      </c>
      <c r="I3" s="3">
        <v>7.56</v>
      </c>
      <c r="J3" s="4">
        <v>479.4</v>
      </c>
      <c r="K3" s="5">
        <v>0.14351017773151398</v>
      </c>
      <c r="L3" s="5">
        <v>1.3401510715484619</v>
      </c>
      <c r="M3" s="3">
        <v>553.34337602870301</v>
      </c>
      <c r="N3" s="3">
        <v>9.6105332213534211</v>
      </c>
      <c r="O3" s="3">
        <v>53.348858138014435</v>
      </c>
      <c r="P3" s="3">
        <v>51.686104270000001</v>
      </c>
      <c r="Q3">
        <v>23</v>
      </c>
      <c r="R3" s="6">
        <v>8.1776661E-2</v>
      </c>
      <c r="S3">
        <v>87</v>
      </c>
      <c r="T3" s="6">
        <v>1.6791727999999999E-2</v>
      </c>
      <c r="U3">
        <v>15</v>
      </c>
    </row>
    <row r="4" spans="1:21">
      <c r="A4" t="s">
        <v>47</v>
      </c>
      <c r="B4" t="s">
        <v>27</v>
      </c>
      <c r="C4" s="17" t="s">
        <v>233</v>
      </c>
      <c r="D4" s="17" t="s">
        <v>181</v>
      </c>
      <c r="E4" s="17" t="s">
        <v>234</v>
      </c>
      <c r="F4" s="2">
        <v>120.3459665</v>
      </c>
      <c r="G4" s="2">
        <v>29.338965120000001</v>
      </c>
      <c r="H4" s="3">
        <v>27.346082978588228</v>
      </c>
      <c r="I4" s="3">
        <v>6.55</v>
      </c>
      <c r="J4" s="4">
        <v>110.1</v>
      </c>
      <c r="K4" s="5">
        <v>0.13286152482032776</v>
      </c>
      <c r="L4" s="5">
        <v>1.3882148265838623</v>
      </c>
      <c r="M4" s="3">
        <v>84.039508064798085</v>
      </c>
      <c r="N4" s="3">
        <v>8.865630773512672</v>
      </c>
      <c r="O4" s="3">
        <v>55.652976340887726</v>
      </c>
      <c r="P4" s="3">
        <v>72.905506950000003</v>
      </c>
      <c r="Q4">
        <v>24</v>
      </c>
      <c r="R4" s="6">
        <v>0.18658248999999999</v>
      </c>
      <c r="S4">
        <v>93</v>
      </c>
      <c r="T4" s="6">
        <v>1.1661522000000001E-2</v>
      </c>
      <c r="U4">
        <v>10</v>
      </c>
    </row>
    <row r="5" spans="1:21">
      <c r="A5" t="s">
        <v>49</v>
      </c>
      <c r="B5" t="s">
        <v>27</v>
      </c>
      <c r="C5" s="17" t="s">
        <v>237</v>
      </c>
      <c r="D5" s="17" t="s">
        <v>224</v>
      </c>
      <c r="E5" s="17" t="s">
        <v>238</v>
      </c>
      <c r="F5" s="2">
        <v>111.5278917</v>
      </c>
      <c r="G5" s="2">
        <v>30.559681770000001</v>
      </c>
      <c r="H5" s="3">
        <v>23.717948717948712</v>
      </c>
      <c r="I5" s="3">
        <v>7.64</v>
      </c>
      <c r="J5" s="4">
        <v>592.4</v>
      </c>
      <c r="K5" s="5">
        <v>0.16098898649215698</v>
      </c>
      <c r="L5" s="5">
        <v>2.0103936195373535</v>
      </c>
      <c r="M5" s="3">
        <v>265.07179585798815</v>
      </c>
      <c r="N5" s="3">
        <v>3.1031175587329392</v>
      </c>
      <c r="O5" s="3">
        <v>226.02228690705886</v>
      </c>
      <c r="P5" s="3">
        <v>52.894274379999999</v>
      </c>
      <c r="Q5">
        <v>22</v>
      </c>
      <c r="R5" s="6">
        <v>0.184219154</v>
      </c>
      <c r="S5">
        <v>106</v>
      </c>
      <c r="T5" s="6">
        <v>3.0899606E-2</v>
      </c>
      <c r="U5">
        <v>19</v>
      </c>
    </row>
    <row r="6" spans="1:21">
      <c r="A6" t="s">
        <v>52</v>
      </c>
      <c r="B6" t="s">
        <v>27</v>
      </c>
      <c r="C6" s="17" t="s">
        <v>242</v>
      </c>
      <c r="D6" s="17" t="s">
        <v>243</v>
      </c>
      <c r="E6" s="17" t="s">
        <v>244</v>
      </c>
      <c r="F6" s="2">
        <v>107.3189179</v>
      </c>
      <c r="G6" s="2">
        <v>29.647262829999999</v>
      </c>
      <c r="H6" s="3">
        <v>19.350341558622617</v>
      </c>
      <c r="I6" s="3">
        <v>7.78</v>
      </c>
      <c r="J6" s="4">
        <v>236.5</v>
      </c>
      <c r="K6" s="5">
        <v>0.1448160856962204</v>
      </c>
      <c r="L6" s="5">
        <v>1.4921765327453613</v>
      </c>
      <c r="M6" s="3">
        <v>49.02877422457766</v>
      </c>
      <c r="N6" s="3">
        <v>5.6934652385495195</v>
      </c>
      <c r="O6" s="3">
        <v>34.220426968520641</v>
      </c>
      <c r="P6" s="3">
        <v>23.01945551</v>
      </c>
      <c r="Q6">
        <v>24</v>
      </c>
      <c r="R6" s="6">
        <v>0.100204351</v>
      </c>
      <c r="S6">
        <v>68</v>
      </c>
      <c r="T6" s="6">
        <v>3.4731580000000001E-3</v>
      </c>
      <c r="U6">
        <v>8</v>
      </c>
    </row>
    <row r="7" spans="1:21">
      <c r="A7" t="s">
        <v>55</v>
      </c>
      <c r="B7" t="s">
        <v>27</v>
      </c>
      <c r="C7" s="17" t="s">
        <v>249</v>
      </c>
      <c r="D7" s="17" t="s">
        <v>246</v>
      </c>
      <c r="E7" s="17" t="s">
        <v>250</v>
      </c>
      <c r="F7" s="2">
        <v>106.680907</v>
      </c>
      <c r="G7" s="2">
        <v>26.17173828</v>
      </c>
      <c r="H7" s="3">
        <v>34.234338747099756</v>
      </c>
      <c r="I7" s="3">
        <v>7.96</v>
      </c>
      <c r="J7" s="4">
        <v>307.5</v>
      </c>
      <c r="K7" s="5">
        <v>0.19033873081207275</v>
      </c>
      <c r="L7" s="5">
        <v>2.2530462741851807</v>
      </c>
      <c r="M7" s="3">
        <v>441.7041860731801</v>
      </c>
      <c r="N7" s="3">
        <v>6.0775210688435735</v>
      </c>
      <c r="O7" s="3">
        <v>31.785567919539918</v>
      </c>
      <c r="P7" s="3">
        <v>33.914307149999999</v>
      </c>
      <c r="Q7">
        <v>22</v>
      </c>
      <c r="R7" s="6">
        <v>0.118140386</v>
      </c>
      <c r="S7">
        <v>77</v>
      </c>
      <c r="T7" s="6">
        <v>5.2486800000000004E-3</v>
      </c>
      <c r="U7">
        <v>12</v>
      </c>
    </row>
    <row r="8" spans="1:21">
      <c r="A8" t="s">
        <v>58</v>
      </c>
      <c r="B8" t="s">
        <v>27</v>
      </c>
      <c r="C8" s="17" t="s">
        <v>255</v>
      </c>
      <c r="D8" s="17" t="s">
        <v>252</v>
      </c>
      <c r="E8" s="17" t="s">
        <v>256</v>
      </c>
      <c r="F8" s="2">
        <v>107.9939826</v>
      </c>
      <c r="G8" s="2">
        <v>22.927934189999998</v>
      </c>
      <c r="H8" s="3">
        <v>25.636079728116112</v>
      </c>
      <c r="I8" s="3">
        <v>6.97</v>
      </c>
      <c r="J8" s="4">
        <v>254.7</v>
      </c>
      <c r="K8" s="5">
        <v>0.2285744845867157</v>
      </c>
      <c r="L8" s="5">
        <v>2.6256015300750732</v>
      </c>
      <c r="M8" s="3">
        <v>292.27988666357726</v>
      </c>
      <c r="N8" s="3">
        <v>4.9648847315454319</v>
      </c>
      <c r="O8" s="3">
        <v>22.288673165926703</v>
      </c>
      <c r="P8" s="3">
        <v>45.26516659</v>
      </c>
      <c r="Q8">
        <v>22</v>
      </c>
      <c r="R8" s="6">
        <v>8.6470006000000002E-2</v>
      </c>
      <c r="S8">
        <v>69</v>
      </c>
      <c r="T8" s="6">
        <v>4.1689960000000003E-3</v>
      </c>
      <c r="U8">
        <v>7</v>
      </c>
    </row>
    <row r="9" spans="1:21">
      <c r="A9" t="s">
        <v>62</v>
      </c>
      <c r="B9" t="s">
        <v>27</v>
      </c>
      <c r="C9" s="17" t="s">
        <v>264</v>
      </c>
      <c r="D9" s="17" t="s">
        <v>260</v>
      </c>
      <c r="E9" s="17" t="s">
        <v>265</v>
      </c>
      <c r="F9" s="2">
        <v>112.6807867</v>
      </c>
      <c r="G9" s="2">
        <v>21.87911837</v>
      </c>
      <c r="H9" s="3">
        <v>14.719704598858685</v>
      </c>
      <c r="I9" s="3">
        <v>6.32</v>
      </c>
      <c r="J9" s="4">
        <v>29.15</v>
      </c>
      <c r="K9" s="5">
        <v>4.2508181184530258E-2</v>
      </c>
      <c r="L9" s="5">
        <v>0.75983595848083496</v>
      </c>
      <c r="M9" s="3">
        <v>7.5057710034919376</v>
      </c>
      <c r="N9" s="3">
        <v>4.9694155943400116</v>
      </c>
      <c r="O9" s="3">
        <v>6.45215313659053</v>
      </c>
      <c r="P9" s="3">
        <v>23.642112239999999</v>
      </c>
      <c r="Q9">
        <v>18</v>
      </c>
      <c r="R9" s="6">
        <v>7.1075413000000004E-2</v>
      </c>
      <c r="S9">
        <v>55</v>
      </c>
      <c r="T9" s="6">
        <v>1.9634549999999998E-3</v>
      </c>
      <c r="U9">
        <v>9</v>
      </c>
    </row>
    <row r="10" spans="1:21">
      <c r="A10" t="s">
        <v>63</v>
      </c>
      <c r="B10" t="s">
        <v>27</v>
      </c>
      <c r="C10" s="17" t="s">
        <v>266</v>
      </c>
      <c r="D10" s="17" t="s">
        <v>260</v>
      </c>
      <c r="E10" s="17" t="s">
        <v>267</v>
      </c>
      <c r="F10" s="2">
        <v>113.8015023</v>
      </c>
      <c r="G10" s="2">
        <v>22.874619620000001</v>
      </c>
      <c r="H10" s="3">
        <v>20.872806336387629</v>
      </c>
      <c r="I10" s="3">
        <v>7</v>
      </c>
      <c r="J10" s="4">
        <v>137.80000000000001</v>
      </c>
      <c r="K10" s="5">
        <v>9.833720326423645E-2</v>
      </c>
      <c r="L10" s="5">
        <v>1.4004553556442261</v>
      </c>
      <c r="M10" s="3">
        <v>64.861432900793019</v>
      </c>
      <c r="N10" s="3">
        <v>6.2430000935804841</v>
      </c>
      <c r="O10" s="3">
        <v>18.298065644175306</v>
      </c>
      <c r="P10" s="3">
        <v>53.57946767</v>
      </c>
      <c r="Q10">
        <v>21</v>
      </c>
      <c r="R10" s="6">
        <v>0.17768119499999999</v>
      </c>
      <c r="S10">
        <v>78</v>
      </c>
      <c r="T10" s="6">
        <v>6.9058440000000004E-3</v>
      </c>
      <c r="U10">
        <v>7</v>
      </c>
    </row>
    <row r="11" spans="1:21">
      <c r="A11" t="s">
        <v>67</v>
      </c>
      <c r="B11" t="s">
        <v>27</v>
      </c>
      <c r="C11" s="17" t="s">
        <v>273</v>
      </c>
      <c r="D11" s="17" t="s">
        <v>274</v>
      </c>
      <c r="E11" s="17" t="s">
        <v>275</v>
      </c>
      <c r="F11" s="2">
        <v>118.9865696</v>
      </c>
      <c r="G11" s="2">
        <v>25.301467280000001</v>
      </c>
      <c r="H11" s="3">
        <v>14.161067969636147</v>
      </c>
      <c r="I11" s="3">
        <v>6.45</v>
      </c>
      <c r="J11" s="4">
        <v>155.4</v>
      </c>
      <c r="K11" s="5">
        <v>6.1171457171440125E-2</v>
      </c>
      <c r="L11" s="5">
        <v>0.95127332210540771</v>
      </c>
      <c r="M11" s="3">
        <v>74.765991709048208</v>
      </c>
      <c r="N11" s="3">
        <v>4.4949900681040802</v>
      </c>
      <c r="O11" s="3">
        <v>16.677733497475181</v>
      </c>
      <c r="P11" s="3">
        <v>47.718902929999999</v>
      </c>
      <c r="Q11">
        <v>20</v>
      </c>
      <c r="R11" s="6">
        <v>0.19755806000000001</v>
      </c>
      <c r="S11">
        <v>90</v>
      </c>
      <c r="T11" s="6">
        <v>1.9160413000000001E-2</v>
      </c>
      <c r="U11">
        <v>13</v>
      </c>
    </row>
    <row r="12" spans="1:21">
      <c r="A12" t="s">
        <v>70</v>
      </c>
      <c r="B12" t="s">
        <v>27</v>
      </c>
      <c r="C12" s="17" t="s">
        <v>280</v>
      </c>
      <c r="D12" s="17" t="s">
        <v>181</v>
      </c>
      <c r="E12" s="17" t="s">
        <v>191</v>
      </c>
      <c r="F12" s="2">
        <v>121.4801109</v>
      </c>
      <c r="G12" s="2">
        <v>28.339896360000001</v>
      </c>
      <c r="H12" s="3">
        <v>18.880108760302488</v>
      </c>
      <c r="I12" s="3">
        <v>5.34</v>
      </c>
      <c r="J12" s="4">
        <v>189.8</v>
      </c>
      <c r="K12" s="5">
        <v>0.14277121424674988</v>
      </c>
      <c r="L12" s="5">
        <v>2.4639172554016113</v>
      </c>
      <c r="M12" s="3">
        <v>162.10793250067769</v>
      </c>
      <c r="N12" s="3">
        <v>36.474498124642082</v>
      </c>
      <c r="O12" s="3">
        <v>9.8525549729152839</v>
      </c>
      <c r="P12" s="3">
        <v>101.0912003</v>
      </c>
      <c r="Q12">
        <v>22</v>
      </c>
      <c r="R12" s="6">
        <v>0.19581240699999999</v>
      </c>
      <c r="S12">
        <v>92</v>
      </c>
      <c r="T12" s="6">
        <v>1.1145653E-2</v>
      </c>
      <c r="U12">
        <v>14</v>
      </c>
    </row>
    <row r="13" spans="1:21">
      <c r="A13" t="s">
        <v>74</v>
      </c>
      <c r="B13" t="s">
        <v>27</v>
      </c>
      <c r="C13" s="17" t="s">
        <v>287</v>
      </c>
      <c r="D13" s="17" t="s">
        <v>283</v>
      </c>
      <c r="E13" s="17" t="s">
        <v>288</v>
      </c>
      <c r="F13" s="2">
        <v>108.95514110000001</v>
      </c>
      <c r="G13" s="2">
        <v>18.456908139999999</v>
      </c>
      <c r="H13" s="3">
        <v>3.9442896935933258</v>
      </c>
      <c r="I13" s="3">
        <v>6.75</v>
      </c>
      <c r="J13" s="4">
        <v>130.6</v>
      </c>
      <c r="K13" s="5">
        <v>0.14925415813922882</v>
      </c>
      <c r="L13" s="5">
        <v>1.3142184019088745</v>
      </c>
      <c r="M13" s="3">
        <v>60.645504223710248</v>
      </c>
      <c r="N13" s="3">
        <v>5.9850441692673515</v>
      </c>
      <c r="O13" s="3">
        <v>27.711639936071947</v>
      </c>
      <c r="P13" s="3">
        <v>55.702561439999997</v>
      </c>
      <c r="Q13">
        <v>19</v>
      </c>
      <c r="R13" s="6">
        <v>0.19789374600000001</v>
      </c>
      <c r="S13">
        <v>82</v>
      </c>
      <c r="T13" s="6">
        <v>4.8201199999999998E-3</v>
      </c>
      <c r="U13">
        <v>12</v>
      </c>
    </row>
    <row r="14" spans="1:21">
      <c r="A14" t="s">
        <v>78</v>
      </c>
      <c r="B14" t="s">
        <v>27</v>
      </c>
      <c r="C14" s="17" t="s">
        <v>295</v>
      </c>
      <c r="D14" s="17" t="s">
        <v>296</v>
      </c>
      <c r="E14" s="17" t="s">
        <v>297</v>
      </c>
      <c r="F14" s="2">
        <v>117.6037281</v>
      </c>
      <c r="G14" s="2">
        <v>38.831787009999999</v>
      </c>
      <c r="H14" s="3">
        <v>19.428177747158117</v>
      </c>
      <c r="I14" s="3">
        <v>8.0299999999999994</v>
      </c>
      <c r="J14" s="4">
        <v>4.3010000000000002</v>
      </c>
      <c r="K14" s="5">
        <v>8.649049699306488E-2</v>
      </c>
      <c r="L14" s="5">
        <v>2.2918250560760498</v>
      </c>
      <c r="M14" s="3">
        <v>546.08332937822286</v>
      </c>
      <c r="N14" s="3">
        <v>11.425018011344514</v>
      </c>
      <c r="O14" s="3">
        <v>608.79209135288954</v>
      </c>
      <c r="P14" s="3">
        <v>62.014742720000001</v>
      </c>
      <c r="Q14">
        <v>23</v>
      </c>
      <c r="R14" s="6">
        <v>0.20586437899999999</v>
      </c>
      <c r="S14">
        <v>78</v>
      </c>
      <c r="T14" s="6">
        <v>1.0395893999999999E-2</v>
      </c>
      <c r="U14">
        <v>10</v>
      </c>
    </row>
    <row r="15" spans="1:21">
      <c r="A15" t="s">
        <v>79</v>
      </c>
      <c r="B15" t="s">
        <v>27</v>
      </c>
      <c r="C15" s="17" t="s">
        <v>298</v>
      </c>
      <c r="D15" s="17" t="s">
        <v>299</v>
      </c>
      <c r="E15" s="17" t="s">
        <v>300</v>
      </c>
      <c r="F15" s="2">
        <v>119.04581899999999</v>
      </c>
      <c r="G15" s="2">
        <v>39.488405540000002</v>
      </c>
      <c r="H15" s="3">
        <v>3.8759689922480618</v>
      </c>
      <c r="I15" s="3">
        <v>8.01</v>
      </c>
      <c r="J15" s="4">
        <v>171.2</v>
      </c>
      <c r="K15" s="5">
        <v>4.2425878345966339E-2</v>
      </c>
      <c r="L15" s="5">
        <v>1.1878147125244141</v>
      </c>
      <c r="M15" s="3">
        <v>107.41438711615888</v>
      </c>
      <c r="N15" s="3">
        <v>7.3360881242345286</v>
      </c>
      <c r="O15" s="3">
        <v>38.372372939350498</v>
      </c>
      <c r="P15" s="3">
        <v>60.181599110000001</v>
      </c>
      <c r="Q15">
        <v>22</v>
      </c>
      <c r="R15" s="6">
        <v>0.14292191000000001</v>
      </c>
      <c r="S15">
        <v>89</v>
      </c>
      <c r="T15" s="6">
        <v>9.0311409999999995E-3</v>
      </c>
      <c r="U15">
        <v>12</v>
      </c>
    </row>
    <row r="16" spans="1:21">
      <c r="A16" t="s">
        <v>81</v>
      </c>
      <c r="B16" t="s">
        <v>27</v>
      </c>
      <c r="C16" s="17" t="s">
        <v>304</v>
      </c>
      <c r="D16" s="17" t="s">
        <v>302</v>
      </c>
      <c r="E16" s="17" t="s">
        <v>305</v>
      </c>
      <c r="F16" s="2">
        <v>122.67580719999999</v>
      </c>
      <c r="G16" s="2">
        <v>41.516838249999999</v>
      </c>
      <c r="H16" s="3">
        <v>8.1141005415085363</v>
      </c>
      <c r="I16" s="3">
        <v>7.87</v>
      </c>
      <c r="J16" s="4">
        <v>214.1</v>
      </c>
      <c r="K16" s="5">
        <v>1.7032455652952194E-2</v>
      </c>
      <c r="L16" s="5">
        <v>0.54030221700668335</v>
      </c>
      <c r="M16" s="3">
        <v>41.787056396872998</v>
      </c>
      <c r="N16" s="3">
        <v>10.898981540704689</v>
      </c>
      <c r="O16" s="3">
        <v>48.128281212582536</v>
      </c>
      <c r="P16" s="3">
        <v>23.70626253</v>
      </c>
      <c r="Q16">
        <v>19</v>
      </c>
      <c r="R16" s="6">
        <v>0.103665702</v>
      </c>
      <c r="S16">
        <v>79</v>
      </c>
      <c r="T16" s="6">
        <v>6.7877880000000003E-3</v>
      </c>
      <c r="U16">
        <v>12</v>
      </c>
    </row>
    <row r="17" spans="1:21">
      <c r="A17" t="s">
        <v>84</v>
      </c>
      <c r="B17" t="s">
        <v>27</v>
      </c>
      <c r="C17" s="17" t="s">
        <v>311</v>
      </c>
      <c r="D17" s="17" t="s">
        <v>309</v>
      </c>
      <c r="E17" s="17" t="s">
        <v>312</v>
      </c>
      <c r="F17" s="2">
        <v>128.09674989999999</v>
      </c>
      <c r="G17" s="2">
        <v>43.117476019999998</v>
      </c>
      <c r="H17" s="3">
        <v>14.221754016328667</v>
      </c>
      <c r="I17" s="3">
        <v>7.52</v>
      </c>
      <c r="J17" s="4">
        <v>77.91</v>
      </c>
      <c r="K17" s="5">
        <v>7.5519435107707977E-2</v>
      </c>
      <c r="L17" s="5">
        <v>1.2759232521057129</v>
      </c>
      <c r="M17" s="3">
        <v>106.25846842256361</v>
      </c>
      <c r="N17" s="3">
        <v>13.118220631793765</v>
      </c>
      <c r="O17" s="3">
        <v>44.111159166871154</v>
      </c>
      <c r="P17" s="3">
        <v>53.682043159999999</v>
      </c>
      <c r="Q17">
        <v>20</v>
      </c>
      <c r="R17" s="6">
        <v>0.149684699</v>
      </c>
      <c r="S17">
        <v>70</v>
      </c>
      <c r="T17" s="6">
        <v>6.1614449999999998E-3</v>
      </c>
      <c r="U17">
        <v>7</v>
      </c>
    </row>
    <row r="18" spans="1:21">
      <c r="A18" t="s">
        <v>88</v>
      </c>
      <c r="B18" t="s">
        <v>27</v>
      </c>
      <c r="C18" s="17" t="s">
        <v>319</v>
      </c>
      <c r="D18" s="17" t="s">
        <v>314</v>
      </c>
      <c r="E18" s="17" t="s">
        <v>320</v>
      </c>
      <c r="F18" s="2">
        <v>129.44891250000001</v>
      </c>
      <c r="G18" s="2">
        <v>47.430637050000001</v>
      </c>
      <c r="H18" s="3">
        <v>32.729624838292352</v>
      </c>
      <c r="I18" s="3">
        <v>6.73</v>
      </c>
      <c r="J18" s="4">
        <v>226</v>
      </c>
      <c r="K18" s="5">
        <v>0.36047717928886414</v>
      </c>
      <c r="L18" s="5">
        <v>4.5921173095703125</v>
      </c>
      <c r="M18" s="3">
        <v>93.92353482425122</v>
      </c>
      <c r="N18" s="3">
        <v>20.353066547371991</v>
      </c>
      <c r="O18" s="3">
        <v>85.035475542846939</v>
      </c>
      <c r="P18" s="3">
        <v>54.877696090000001</v>
      </c>
      <c r="Q18">
        <v>21</v>
      </c>
      <c r="R18" s="6">
        <v>0.25523683000000003</v>
      </c>
      <c r="S18">
        <v>87</v>
      </c>
      <c r="T18" s="6">
        <v>1.8719478000000001E-2</v>
      </c>
      <c r="U18">
        <v>9</v>
      </c>
    </row>
    <row r="19" spans="1:21">
      <c r="A19" t="s">
        <v>95</v>
      </c>
      <c r="B19" t="s">
        <v>27</v>
      </c>
      <c r="C19" s="17" t="s">
        <v>333</v>
      </c>
      <c r="D19" s="17" t="s">
        <v>327</v>
      </c>
      <c r="E19" s="17" t="s">
        <v>334</v>
      </c>
      <c r="F19" s="2">
        <v>111.00585940000001</v>
      </c>
      <c r="G19" s="2">
        <v>40.699381340000002</v>
      </c>
      <c r="H19" s="3">
        <v>4.6260366735144327</v>
      </c>
      <c r="I19" s="3">
        <v>8.0500000000000007</v>
      </c>
      <c r="J19" s="4">
        <v>201.4</v>
      </c>
      <c r="K19" s="5">
        <v>0.12812423706054688</v>
      </c>
      <c r="L19" s="5">
        <v>2.5007505416870117</v>
      </c>
      <c r="M19" s="3">
        <v>375.73818773283057</v>
      </c>
      <c r="N19" s="3">
        <v>3.8108440593233275</v>
      </c>
      <c r="O19" s="3">
        <v>35.116570378998716</v>
      </c>
      <c r="P19" s="3">
        <v>80.062074969999998</v>
      </c>
      <c r="Q19">
        <v>23</v>
      </c>
      <c r="R19" s="6">
        <v>5.6462453000000003E-2</v>
      </c>
      <c r="S19">
        <v>51</v>
      </c>
      <c r="T19" s="6">
        <v>1.574483E-3</v>
      </c>
      <c r="U19">
        <v>9</v>
      </c>
    </row>
    <row r="20" spans="1:21">
      <c r="A20" t="s">
        <v>97</v>
      </c>
      <c r="B20" t="s">
        <v>27</v>
      </c>
      <c r="C20" s="17" t="s">
        <v>337</v>
      </c>
      <c r="D20" s="17" t="s">
        <v>338</v>
      </c>
      <c r="E20" s="17" t="s">
        <v>339</v>
      </c>
      <c r="F20" s="2">
        <v>109.1821289</v>
      </c>
      <c r="G20" s="2">
        <v>38.030785690000002</v>
      </c>
      <c r="H20" s="3">
        <v>8.9818461677758137</v>
      </c>
      <c r="I20" s="3">
        <v>8.26</v>
      </c>
      <c r="J20" s="4">
        <v>283.7</v>
      </c>
      <c r="K20" s="5">
        <v>7.0318840444087982E-2</v>
      </c>
      <c r="L20" s="5">
        <v>2.1481382846832275</v>
      </c>
      <c r="M20" s="3">
        <v>232.44552805075531</v>
      </c>
      <c r="N20" s="3">
        <v>5.3846231307135533</v>
      </c>
      <c r="O20" s="3">
        <v>58.348880841462893</v>
      </c>
      <c r="P20" s="3">
        <v>96.577583090000005</v>
      </c>
      <c r="Q20">
        <v>19</v>
      </c>
      <c r="R20" s="6">
        <v>0.12003338600000001</v>
      </c>
      <c r="S20">
        <v>82</v>
      </c>
      <c r="T20" s="6">
        <v>8.2244569999999993E-3</v>
      </c>
      <c r="U20">
        <v>12</v>
      </c>
    </row>
    <row r="21" spans="1:21">
      <c r="A21" t="s">
        <v>100</v>
      </c>
      <c r="B21" t="s">
        <v>27</v>
      </c>
      <c r="C21" s="17" t="s">
        <v>344</v>
      </c>
      <c r="D21" s="17" t="s">
        <v>338</v>
      </c>
      <c r="E21" s="17" t="s">
        <v>345</v>
      </c>
      <c r="F21" s="2">
        <v>108.9788818</v>
      </c>
      <c r="G21" s="2">
        <v>34.189085830000003</v>
      </c>
      <c r="H21" s="3">
        <v>17.908926144086994</v>
      </c>
      <c r="I21" s="3">
        <v>8.24</v>
      </c>
      <c r="J21" s="4">
        <v>233.3</v>
      </c>
      <c r="K21" s="5">
        <v>0.15463396906852722</v>
      </c>
      <c r="L21" s="5">
        <v>2.0695829391479492</v>
      </c>
      <c r="M21" s="3">
        <v>107.82707185903323</v>
      </c>
      <c r="N21" s="3">
        <v>5.5741534852002594</v>
      </c>
      <c r="O21" s="3">
        <v>43.582872584577885</v>
      </c>
      <c r="P21" s="3">
        <v>61.728054360000002</v>
      </c>
      <c r="Q21">
        <v>23</v>
      </c>
      <c r="R21" s="6">
        <v>0.10052947399999999</v>
      </c>
      <c r="S21">
        <v>78</v>
      </c>
      <c r="T21" s="6">
        <v>1.397981E-3</v>
      </c>
      <c r="U21">
        <v>9</v>
      </c>
    </row>
    <row r="22" spans="1:21">
      <c r="A22" t="s">
        <v>102</v>
      </c>
      <c r="B22" t="s">
        <v>27</v>
      </c>
      <c r="C22" s="17" t="s">
        <v>348</v>
      </c>
      <c r="D22" s="17" t="s">
        <v>349</v>
      </c>
      <c r="E22" s="17" t="s">
        <v>350</v>
      </c>
      <c r="F22" s="2">
        <v>108.0780029</v>
      </c>
      <c r="G22" s="2">
        <v>31.854231299999999</v>
      </c>
      <c r="H22" s="3">
        <v>24.736808112122961</v>
      </c>
      <c r="I22" s="3">
        <v>7.62</v>
      </c>
      <c r="J22" s="4">
        <v>236.3</v>
      </c>
      <c r="K22" s="5">
        <v>0.12522721290588379</v>
      </c>
      <c r="L22" s="5">
        <v>1.7993712425231934</v>
      </c>
      <c r="M22" s="3">
        <v>81.2783307927333</v>
      </c>
      <c r="N22" s="3">
        <v>8.3974311787752498</v>
      </c>
      <c r="O22" s="3">
        <v>133.14028748264474</v>
      </c>
      <c r="P22" s="3">
        <v>71.221241230000004</v>
      </c>
      <c r="Q22">
        <v>21</v>
      </c>
      <c r="R22" s="6">
        <v>0.27127698500000003</v>
      </c>
      <c r="S22">
        <v>86</v>
      </c>
      <c r="T22" s="6">
        <v>1.6499229000000001E-2</v>
      </c>
      <c r="U22">
        <v>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B20" sqref="B20"/>
    </sheetView>
  </sheetViews>
  <sheetFormatPr defaultRowHeight="14.25"/>
  <cols>
    <col min="1" max="1" width="30" customWidth="1"/>
    <col min="2" max="3" width="42" customWidth="1"/>
    <col min="4" max="5" width="16" customWidth="1"/>
    <col min="6" max="6" width="24" customWidth="1"/>
    <col min="7" max="7" width="18" customWidth="1"/>
  </cols>
  <sheetData>
    <row r="1" spans="1:7" ht="42" customHeigh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>
      <c r="A2" t="s">
        <v>5</v>
      </c>
      <c r="B2">
        <v>83</v>
      </c>
      <c r="C2" t="s">
        <v>113</v>
      </c>
      <c r="D2" t="s">
        <v>114</v>
      </c>
      <c r="E2">
        <v>21</v>
      </c>
      <c r="F2" t="s">
        <v>115</v>
      </c>
      <c r="G2" t="s">
        <v>116</v>
      </c>
    </row>
    <row r="3" spans="1:7">
      <c r="A3" t="s">
        <v>6</v>
      </c>
      <c r="B3">
        <v>83</v>
      </c>
      <c r="C3" t="s">
        <v>117</v>
      </c>
      <c r="D3" t="s">
        <v>118</v>
      </c>
      <c r="E3">
        <v>21</v>
      </c>
      <c r="F3" t="s">
        <v>119</v>
      </c>
      <c r="G3" t="s">
        <v>120</v>
      </c>
    </row>
    <row r="4" spans="1:7">
      <c r="A4" t="s">
        <v>7</v>
      </c>
      <c r="B4">
        <v>83</v>
      </c>
      <c r="C4" t="s">
        <v>121</v>
      </c>
      <c r="D4" t="s">
        <v>122</v>
      </c>
      <c r="E4">
        <v>21</v>
      </c>
      <c r="F4" t="s">
        <v>123</v>
      </c>
      <c r="G4" t="s">
        <v>124</v>
      </c>
    </row>
    <row r="5" spans="1:7">
      <c r="A5" t="s">
        <v>8</v>
      </c>
      <c r="B5">
        <v>83</v>
      </c>
      <c r="C5" t="s">
        <v>125</v>
      </c>
      <c r="D5" t="s">
        <v>126</v>
      </c>
      <c r="E5">
        <v>21</v>
      </c>
      <c r="F5" t="s">
        <v>127</v>
      </c>
      <c r="G5" t="s">
        <v>128</v>
      </c>
    </row>
    <row r="6" spans="1:7">
      <c r="A6" t="s">
        <v>9</v>
      </c>
      <c r="B6">
        <v>83</v>
      </c>
      <c r="C6" t="s">
        <v>129</v>
      </c>
      <c r="D6" t="s">
        <v>130</v>
      </c>
      <c r="E6">
        <v>21</v>
      </c>
      <c r="F6" t="s">
        <v>131</v>
      </c>
      <c r="G6" t="s">
        <v>132</v>
      </c>
    </row>
    <row r="7" spans="1:7">
      <c r="A7" t="s">
        <v>10</v>
      </c>
      <c r="B7">
        <v>83</v>
      </c>
      <c r="C7" t="s">
        <v>133</v>
      </c>
      <c r="D7" t="s">
        <v>134</v>
      </c>
      <c r="E7">
        <v>21</v>
      </c>
      <c r="F7" t="s">
        <v>135</v>
      </c>
      <c r="G7" t="s">
        <v>136</v>
      </c>
    </row>
    <row r="8" spans="1:7">
      <c r="A8" t="s">
        <v>11</v>
      </c>
      <c r="B8">
        <v>83</v>
      </c>
      <c r="C8" t="s">
        <v>137</v>
      </c>
      <c r="D8" t="s">
        <v>138</v>
      </c>
      <c r="E8">
        <v>21</v>
      </c>
      <c r="F8" t="s">
        <v>139</v>
      </c>
      <c r="G8" t="s">
        <v>140</v>
      </c>
    </row>
    <row r="9" spans="1:7">
      <c r="A9" t="s">
        <v>12</v>
      </c>
      <c r="B9">
        <v>83</v>
      </c>
      <c r="C9" t="s">
        <v>141</v>
      </c>
      <c r="D9" t="s">
        <v>142</v>
      </c>
      <c r="E9">
        <v>21</v>
      </c>
      <c r="F9" t="s">
        <v>143</v>
      </c>
      <c r="G9" t="s">
        <v>144</v>
      </c>
    </row>
    <row r="10" spans="1:7">
      <c r="A10" t="s">
        <v>13</v>
      </c>
      <c r="B10">
        <v>83</v>
      </c>
      <c r="C10" t="s">
        <v>145</v>
      </c>
      <c r="D10" t="s">
        <v>146</v>
      </c>
      <c r="E10">
        <v>21</v>
      </c>
      <c r="F10" t="s">
        <v>147</v>
      </c>
      <c r="G10" t="s">
        <v>148</v>
      </c>
    </row>
    <row r="11" spans="1:7">
      <c r="A11" t="s">
        <v>14</v>
      </c>
      <c r="B11">
        <v>83</v>
      </c>
      <c r="C11" t="s">
        <v>149</v>
      </c>
      <c r="D11" t="s">
        <v>150</v>
      </c>
      <c r="E11">
        <v>21</v>
      </c>
      <c r="F11" t="s">
        <v>149</v>
      </c>
      <c r="G11" t="s">
        <v>150</v>
      </c>
    </row>
    <row r="12" spans="1:7">
      <c r="A12" t="s">
        <v>15</v>
      </c>
      <c r="B12">
        <v>83</v>
      </c>
      <c r="C12" t="s">
        <v>151</v>
      </c>
      <c r="D12" t="s">
        <v>152</v>
      </c>
      <c r="E12">
        <v>21</v>
      </c>
      <c r="F12" t="s">
        <v>153</v>
      </c>
      <c r="G12" t="s">
        <v>154</v>
      </c>
    </row>
    <row r="13" spans="1:7">
      <c r="A13" t="s">
        <v>16</v>
      </c>
      <c r="B13">
        <v>83</v>
      </c>
      <c r="C13" t="s">
        <v>155</v>
      </c>
      <c r="D13" t="s">
        <v>156</v>
      </c>
      <c r="E13">
        <v>21</v>
      </c>
      <c r="F13" t="s">
        <v>157</v>
      </c>
      <c r="G13" t="s">
        <v>156</v>
      </c>
    </row>
    <row r="14" spans="1:7">
      <c r="A14" t="s">
        <v>158</v>
      </c>
      <c r="B14">
        <v>83</v>
      </c>
      <c r="C14" t="s">
        <v>159</v>
      </c>
      <c r="D14" t="s">
        <v>160</v>
      </c>
      <c r="E14">
        <v>21</v>
      </c>
      <c r="F14" t="s">
        <v>161</v>
      </c>
      <c r="G14" t="s">
        <v>162</v>
      </c>
    </row>
    <row r="15" spans="1:7">
      <c r="A15" t="s">
        <v>18</v>
      </c>
      <c r="B15">
        <v>83</v>
      </c>
      <c r="C15" t="s">
        <v>163</v>
      </c>
      <c r="D15" t="s">
        <v>164</v>
      </c>
      <c r="E15">
        <v>21</v>
      </c>
      <c r="F15" t="s">
        <v>165</v>
      </c>
      <c r="G15" t="s">
        <v>164</v>
      </c>
    </row>
    <row r="16" spans="1:7">
      <c r="A16" t="s">
        <v>166</v>
      </c>
      <c r="B16">
        <v>83</v>
      </c>
      <c r="C16" t="s">
        <v>167</v>
      </c>
      <c r="D16" t="s">
        <v>168</v>
      </c>
      <c r="E16">
        <v>21</v>
      </c>
      <c r="F16" t="s">
        <v>169</v>
      </c>
      <c r="G16" t="s">
        <v>170</v>
      </c>
    </row>
    <row r="17" spans="1:7">
      <c r="A17" t="s">
        <v>20</v>
      </c>
      <c r="B17">
        <v>83</v>
      </c>
      <c r="C17" t="s">
        <v>171</v>
      </c>
      <c r="D17" t="s">
        <v>172</v>
      </c>
      <c r="E17">
        <v>21</v>
      </c>
      <c r="F17" t="s">
        <v>173</v>
      </c>
      <c r="G17" t="s">
        <v>172</v>
      </c>
    </row>
    <row r="20" spans="1:7" ht="42" customHeight="1">
      <c r="A20" s="1" t="s">
        <v>174</v>
      </c>
      <c r="B20" s="1" t="s">
        <v>175</v>
      </c>
      <c r="C20" s="1" t="s">
        <v>1</v>
      </c>
    </row>
    <row r="21" spans="1:7">
      <c r="A21" s="14" t="s">
        <v>176</v>
      </c>
      <c r="B21" s="14">
        <v>83</v>
      </c>
      <c r="C21" s="14">
        <v>21</v>
      </c>
    </row>
    <row r="22" spans="1:7">
      <c r="A22" s="14" t="s">
        <v>177</v>
      </c>
      <c r="B22" s="14">
        <v>20</v>
      </c>
      <c r="C22" s="14">
        <v>18</v>
      </c>
    </row>
    <row r="23" spans="1:7" ht="42.75">
      <c r="A23" s="14" t="s">
        <v>178</v>
      </c>
      <c r="B23" s="14" t="s">
        <v>179</v>
      </c>
      <c r="C23" s="14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Sample_metadata_83</vt:lpstr>
      <vt:lpstr>Metagenome_21</vt:lpstr>
      <vt:lpstr>Coverage_summary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 Xiang</cp:lastModifiedBy>
  <dcterms:modified xsi:type="dcterms:W3CDTF">2026-09-17T08:24:12Z</dcterms:modified>
</cp:coreProperties>
</file>